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596"/>
  </bookViews>
  <sheets>
    <sheet name="客户货物运输委托书 " sheetId="73" r:id="rId1"/>
    <sheet name="表格要求说明" sheetId="74" r:id="rId2"/>
  </sheets>
  <definedNames>
    <definedName name="_xlnm.Print_Area" localSheetId="0">'客户货物运输委托书 '!$B$1:$AE$1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Dora</author>
    <author>admin</author>
  </authors>
  <commentList>
    <comment ref="R1" authorId="0">
      <text>
        <r>
          <rPr>
            <sz val="9"/>
            <rFont val="Tahoma"/>
            <charset val="222"/>
          </rPr>
          <t>自税申报要求：不低于亚马逊平台售价的30~35%（欧盟）、20%（英国/美国/加拿大）</t>
        </r>
      </text>
    </comment>
    <comment ref="S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请注意根据币种填写申报单价及总价</t>
        </r>
      </text>
    </comment>
    <comment ref="T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欧盟EUR
英国GBP
美国USD
加拿大CAD
澳洲AUD
</t>
        </r>
      </text>
    </comment>
    <comment ref="U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默认CNY(人民币)</t>
        </r>
      </text>
    </comment>
    <comment ref="AE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自税渠道：需要提供图片+链接
包税渠道：图片，如无链接可填写“/”</t>
        </r>
      </text>
    </comment>
  </commentList>
</comments>
</file>

<file path=xl/sharedStrings.xml><?xml version="1.0" encoding="utf-8"?>
<sst xmlns="http://schemas.openxmlformats.org/spreadsheetml/2006/main" count="235" uniqueCount="101">
  <si>
    <r>
      <rPr>
        <b/>
        <sz val="12"/>
        <rFont val="微软雅黑"/>
        <charset val="134"/>
      </rPr>
      <t xml:space="preserve">FBA箱号
</t>
    </r>
    <r>
      <rPr>
        <b/>
        <sz val="12"/>
        <color rgb="FFFF0000"/>
        <rFont val="微软雅黑"/>
        <charset val="134"/>
      </rPr>
      <t>（连号用“-”表示）</t>
    </r>
  </si>
  <si>
    <t>中文品名</t>
  </si>
  <si>
    <t>英文品名</t>
  </si>
  <si>
    <t>SKU码</t>
  </si>
  <si>
    <t>海关编码</t>
  </si>
  <si>
    <t>材质（中文）</t>
  </si>
  <si>
    <t>材质（英文）</t>
  </si>
  <si>
    <t>品牌</t>
  </si>
  <si>
    <t>品牌类型</t>
  </si>
  <si>
    <t>型号</t>
  </si>
  <si>
    <t>用途</t>
  </si>
  <si>
    <t>带电、磁</t>
  </si>
  <si>
    <t>总箱数</t>
  </si>
  <si>
    <t>单箱
净重</t>
  </si>
  <si>
    <t>单箱
毛重</t>
  </si>
  <si>
    <t>单箱个数</t>
  </si>
  <si>
    <t>产品总个数</t>
  </si>
  <si>
    <t>申报单价</t>
  </si>
  <si>
    <t>申报总价</t>
  </si>
  <si>
    <t>申报币种</t>
  </si>
  <si>
    <t>采购单价</t>
  </si>
  <si>
    <t>采购总价</t>
  </si>
  <si>
    <t>采购币种（默认人民币）</t>
  </si>
  <si>
    <t>长
cm</t>
  </si>
  <si>
    <t>宽
cm</t>
  </si>
  <si>
    <t>高
cm</t>
  </si>
  <si>
    <t>亚马逊内部编号
REFERENCE ID（PO）</t>
  </si>
  <si>
    <t>仓库代码
AMAZON</t>
  </si>
  <si>
    <t>FBA仓库地址</t>
  </si>
  <si>
    <t>※图片（必填，需为浮动图片）</t>
  </si>
  <si>
    <t>※产品在平台链接（必填）</t>
  </si>
  <si>
    <t>FBA19274JGXNU000001</t>
  </si>
  <si>
    <t>苹果配对玩具</t>
  </si>
  <si>
    <t xml:space="preserve">Matching toys </t>
  </si>
  <si>
    <t>Apple-DF43</t>
  </si>
  <si>
    <t>塑料</t>
  </si>
  <si>
    <t>Plastic</t>
  </si>
  <si>
    <t>无</t>
  </si>
  <si>
    <t>无品牌</t>
  </si>
  <si>
    <t>DF43</t>
  </si>
  <si>
    <t>玩具</t>
  </si>
  <si>
    <t>普货</t>
  </si>
  <si>
    <t>USD</t>
  </si>
  <si>
    <t>CNY</t>
  </si>
  <si>
    <t>17CTGBSE</t>
  </si>
  <si>
    <t>BNA6</t>
  </si>
  <si>
    <t>BNA6 - CLARKSVILLE, TN
US</t>
  </si>
  <si>
    <t>https://www.amazon.com/dp/B0F2TBZ7SL</t>
  </si>
  <si>
    <t>FBA19274JGXNU000002</t>
  </si>
  <si>
    <t>猫碟</t>
  </si>
  <si>
    <t xml:space="preserve">Cat dish </t>
  </si>
  <si>
    <t>Cat dish-6pcs</t>
  </si>
  <si>
    <t>陶瓷</t>
  </si>
  <si>
    <t>Creamic</t>
  </si>
  <si>
    <t>https://www.amazon.com/dp/B0CR12TMDN?th=1</t>
  </si>
  <si>
    <t>FBA19274JGXNU000003-04</t>
  </si>
  <si>
    <t>鸡蛋配对玩具</t>
  </si>
  <si>
    <t>Matching eggs</t>
  </si>
  <si>
    <t>Egg-Animal-32</t>
  </si>
  <si>
    <t>DF32</t>
  </si>
  <si>
    <t>https://www.amazon.com/dp/B0CXD2LLX4?th=1</t>
  </si>
  <si>
    <t>FBA19274JGXNU000005-06</t>
  </si>
  <si>
    <t>Egg-Chick</t>
  </si>
  <si>
    <t>DF31</t>
  </si>
  <si>
    <t>FBA19274JGXNU000007</t>
  </si>
  <si>
    <t>拔水果</t>
  </si>
  <si>
    <t>Wooden toys</t>
  </si>
  <si>
    <t>G1-ZK22-F4DD</t>
  </si>
  <si>
    <t>木质</t>
  </si>
  <si>
    <t xml:space="preserve">Wooden </t>
  </si>
  <si>
    <t>https://www.amazon.com/dp/B08YMWKDMV?th=1</t>
  </si>
  <si>
    <t>FBA19274JGXNU000008-09</t>
  </si>
  <si>
    <t>蝶网</t>
  </si>
  <si>
    <t>Telescopic Butterfly Nets</t>
  </si>
  <si>
    <t>HT-IIML-1WXM</t>
  </si>
  <si>
    <t>不锈钢+网兜</t>
  </si>
  <si>
    <t>Stainless steel and net</t>
  </si>
  <si>
    <t>https://www.amazon.com/dp/B0928BD2QK?th=1</t>
  </si>
  <si>
    <t>FBA19274JGXNU0000010-12</t>
  </si>
  <si>
    <t>计数玩具</t>
  </si>
  <si>
    <t xml:space="preserve">Counting toys </t>
  </si>
  <si>
    <t>JS-Animals</t>
  </si>
  <si>
    <t>KS</t>
  </si>
  <si>
    <t>2188-17</t>
  </si>
  <si>
    <t>https://www.amazon.com/dp/B09ZV27XKJ</t>
  </si>
  <si>
    <t>FBA19274JGXNU0000013</t>
  </si>
  <si>
    <t>拼图</t>
  </si>
  <si>
    <t>Puzzles</t>
  </si>
  <si>
    <t>PT-Letter</t>
  </si>
  <si>
    <t>https://www.amazon.com/dp/B0BB67MTDR?th=1</t>
  </si>
  <si>
    <t>FBA19274JGXNU000014</t>
  </si>
  <si>
    <t>JSPPWJ-FJQC</t>
  </si>
  <si>
    <t>FBA19274JGXNU000015</t>
  </si>
  <si>
    <t>穿线玩具</t>
  </si>
  <si>
    <t xml:space="preserve">Lacing toys </t>
  </si>
  <si>
    <t>CXWJ-APPLE</t>
  </si>
  <si>
    <t>https://www.amazon.com/dp/B099DZ9XPZ?th=1</t>
  </si>
  <si>
    <t>CXWJ-3pcs</t>
  </si>
  <si>
    <t>FBA19274JGXNU000016</t>
  </si>
  <si>
    <t>NETS06</t>
  </si>
  <si>
    <r>
      <rPr>
        <sz val="12"/>
        <rFont val="微软雅黑"/>
        <charset val="134"/>
      </rPr>
      <t>表格要求说明
1、</t>
    </r>
    <r>
      <rPr>
        <sz val="12"/>
        <color rgb="FFFF0000"/>
        <rFont val="微软雅黑"/>
        <charset val="134"/>
      </rPr>
      <t>请确保表格的第一列为表头，请勿修改表头</t>
    </r>
    <r>
      <rPr>
        <sz val="12"/>
        <rFont val="微软雅黑"/>
        <charset val="134"/>
      </rPr>
      <t xml:space="preserve">
2、FBA箱号要求：支持多个子单，子单起始范围与终止范围之间用"-"隔开。
编码规则: 
箱数为个位数:FBAID(12位数)+U+5个0+箱数；
箱数为十位数:FBAID(12位数)+U+4个0+箱数；
箱数为百位数:FBAID(12位数)+U+3个0+箱数 
3、品牌类型有以下几种：
①无品牌:是指进出口商品或包装上免除任何标志或牌名的情形。
②境内自主品牌:是指由境内企业自主开发、拥有自主知识产权的品牌。
③境内收购品牌:是指境内企业收购的原境外品牌。
④境外品牌(贴牌生产):是指境内企业代工贴牌生产中使用的境外品牌。
⑤境外品牌(其他):是指除代工贴牌生产以外使用的境外品牌。
4、自税申报要求：不低于亚马逊平台售价的30~35%（欧盟）、20%（英国/美国/加拿大）
申报币种：欧盟EUR；英国GBP；美国USD；加拿大CAD；澳洲AUD
5、图片要求：
①图片需完整放入到单元格中（需为浮动图片），如发生偏移，会导致图片无法识别
②一个单元格中最好一张图片，如多张图片时，无论重叠或平铺，取最上面一张图片
6、产品链接要求：
自税渠道：需要提供图片及链接
包税渠道：需要提供图片，如无链接可填写“/”；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</si>
</sst>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40">
    <font>
      <sz val="12"/>
      <name val="宋体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sz val="12"/>
      <name val="Times New Roman"/>
      <charset val="1"/>
    </font>
    <font>
      <sz val="10"/>
      <name val="微软雅黑"/>
      <charset val="1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444444"/>
      <name val="微软雅黑"/>
      <charset val="134"/>
    </font>
    <font>
      <sz val="10"/>
      <color rgb="FFFF0000"/>
      <name val="微软雅黑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60"/>
      <name val="宋体"/>
      <charset val="134"/>
    </font>
    <font>
      <sz val="10"/>
      <name val="Arial"/>
      <charset val="134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sz val="12"/>
      <color rgb="FFFF0000"/>
      <name val="微软雅黑"/>
      <charset val="134"/>
    </font>
    <font>
      <b/>
      <sz val="12"/>
      <color rgb="FFFF0000"/>
      <name val="微软雅黑"/>
      <charset val="134"/>
    </font>
    <font>
      <b/>
      <sz val="9"/>
      <name val="宋体"/>
      <charset val="134"/>
    </font>
    <font>
      <sz val="9"/>
      <name val="Tahoma"/>
      <charset val="222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1" fillId="34" borderId="0">
      <alignment vertical="center"/>
    </xf>
    <xf numFmtId="0" fontId="30" fillId="0" borderId="0"/>
    <xf numFmtId="0" fontId="32" fillId="0" borderId="0"/>
    <xf numFmtId="0" fontId="0" fillId="0" borderId="0"/>
    <xf numFmtId="0" fontId="0" fillId="0" borderId="0">
      <alignment vertical="center"/>
    </xf>
    <xf numFmtId="0" fontId="33" fillId="35" borderId="0">
      <alignment vertical="center"/>
    </xf>
    <xf numFmtId="0" fontId="30" fillId="0" borderId="0">
      <alignment vertical="center"/>
    </xf>
    <xf numFmtId="0" fontId="30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0" borderId="0"/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报关资料" xfId="49"/>
    <cellStyle name="常规 6" xfId="50"/>
    <cellStyle name="常规 12" xfId="51"/>
    <cellStyle name="常规 6 2" xfId="52"/>
    <cellStyle name="常规 2 2 2" xfId="53"/>
    <cellStyle name="好_报关资料" xfId="54"/>
    <cellStyle name="常规 10" xfId="55"/>
    <cellStyle name="常规 2" xfId="56"/>
    <cellStyle name="常规 2_报关资料" xfId="57"/>
    <cellStyle name="Normale_Foglio1" xfId="58"/>
    <cellStyle name="常规 10 2 2" xfId="59"/>
    <cellStyle name="常规 6 2 2 2" xfId="60"/>
    <cellStyle name="常规 13" xfId="61"/>
    <cellStyle name="Normal_货物情况说明" xfId="62"/>
    <cellStyle name="超链接 2" xfId="63"/>
    <cellStyle name="常规 3" xfId="64"/>
  </cellStyles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00"/>
      <color rgb="000000FF"/>
      <color rgb="00FFFFFF"/>
      <color rgb="00D8E4BC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29</xdr:col>
      <xdr:colOff>616585</xdr:colOff>
      <xdr:row>1</xdr:row>
      <xdr:rowOff>92710</xdr:rowOff>
    </xdr:from>
    <xdr:to>
      <xdr:col>29</xdr:col>
      <xdr:colOff>1111885</xdr:colOff>
      <xdr:row>1</xdr:row>
      <xdr:rowOff>530860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233245" y="778510"/>
          <a:ext cx="495300" cy="43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614680</xdr:colOff>
      <xdr:row>4</xdr:row>
      <xdr:rowOff>58420</xdr:rowOff>
    </xdr:from>
    <xdr:to>
      <xdr:col>29</xdr:col>
      <xdr:colOff>1214755</xdr:colOff>
      <xdr:row>4</xdr:row>
      <xdr:rowOff>630555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231340" y="2877820"/>
          <a:ext cx="600075" cy="572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650875</xdr:colOff>
      <xdr:row>9</xdr:row>
      <xdr:rowOff>83820</xdr:rowOff>
    </xdr:from>
    <xdr:to>
      <xdr:col>29</xdr:col>
      <xdr:colOff>1184275</xdr:colOff>
      <xdr:row>9</xdr:row>
      <xdr:rowOff>626745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267535" y="6459220"/>
          <a:ext cx="53340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441960</xdr:colOff>
      <xdr:row>10</xdr:row>
      <xdr:rowOff>60960</xdr:rowOff>
    </xdr:from>
    <xdr:to>
      <xdr:col>29</xdr:col>
      <xdr:colOff>1013460</xdr:colOff>
      <xdr:row>10</xdr:row>
      <xdr:rowOff>613410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7058620" y="7147560"/>
          <a:ext cx="571500" cy="55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650875</xdr:colOff>
      <xdr:row>11</xdr:row>
      <xdr:rowOff>118745</xdr:rowOff>
    </xdr:from>
    <xdr:to>
      <xdr:col>29</xdr:col>
      <xdr:colOff>1136650</xdr:colOff>
      <xdr:row>11</xdr:row>
      <xdr:rowOff>652145</xdr:rowOff>
    </xdr:to>
    <xdr:pic>
      <xdr:nvPicPr>
        <xdr:cNvPr id="14" name="图片 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7267535" y="7916545"/>
          <a:ext cx="485775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662305</xdr:colOff>
      <xdr:row>12</xdr:row>
      <xdr:rowOff>140970</xdr:rowOff>
    </xdr:from>
    <xdr:to>
      <xdr:col>29</xdr:col>
      <xdr:colOff>1195705</xdr:colOff>
      <xdr:row>12</xdr:row>
      <xdr:rowOff>569595</xdr:rowOff>
    </xdr:to>
    <xdr:pic>
      <xdr:nvPicPr>
        <xdr:cNvPr id="16" name="图片 1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7278965" y="8649970"/>
          <a:ext cx="533400" cy="42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604520</xdr:colOff>
      <xdr:row>5</xdr:row>
      <xdr:rowOff>13970</xdr:rowOff>
    </xdr:from>
    <xdr:to>
      <xdr:col>29</xdr:col>
      <xdr:colOff>1147445</xdr:colOff>
      <xdr:row>5</xdr:row>
      <xdr:rowOff>547370</xdr:rowOff>
    </xdr:to>
    <xdr:pic>
      <xdr:nvPicPr>
        <xdr:cNvPr id="22" name="图片 2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7221180" y="3544570"/>
          <a:ext cx="542925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788670</xdr:colOff>
      <xdr:row>8</xdr:row>
      <xdr:rowOff>72390</xdr:rowOff>
    </xdr:from>
    <xdr:to>
      <xdr:col>29</xdr:col>
      <xdr:colOff>1283970</xdr:colOff>
      <xdr:row>8</xdr:row>
      <xdr:rowOff>643890</xdr:rowOff>
    </xdr:to>
    <xdr:pic>
      <xdr:nvPicPr>
        <xdr:cNvPr id="23" name="图片 2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7405330" y="5736590"/>
          <a:ext cx="49530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589915</xdr:colOff>
      <xdr:row>3</xdr:row>
      <xdr:rowOff>80645</xdr:rowOff>
    </xdr:from>
    <xdr:to>
      <xdr:col>29</xdr:col>
      <xdr:colOff>1189990</xdr:colOff>
      <xdr:row>3</xdr:row>
      <xdr:rowOff>652780</xdr:rowOff>
    </xdr:to>
    <xdr:pic>
      <xdr:nvPicPr>
        <xdr:cNvPr id="24" name="图片 2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206575" y="2188845"/>
          <a:ext cx="600075" cy="572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673100</xdr:colOff>
      <xdr:row>2</xdr:row>
      <xdr:rowOff>164465</xdr:rowOff>
    </xdr:from>
    <xdr:to>
      <xdr:col>29</xdr:col>
      <xdr:colOff>1244600</xdr:colOff>
      <xdr:row>2</xdr:row>
      <xdr:rowOff>631190</xdr:rowOff>
    </xdr:to>
    <xdr:pic>
      <xdr:nvPicPr>
        <xdr:cNvPr id="25" name="图片 2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7289760" y="1561465"/>
          <a:ext cx="571500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754380</xdr:colOff>
      <xdr:row>7</xdr:row>
      <xdr:rowOff>96520</xdr:rowOff>
    </xdr:from>
    <xdr:to>
      <xdr:col>29</xdr:col>
      <xdr:colOff>1287780</xdr:colOff>
      <xdr:row>7</xdr:row>
      <xdr:rowOff>639445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371040" y="5049520"/>
          <a:ext cx="53340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627380</xdr:colOff>
      <xdr:row>6</xdr:row>
      <xdr:rowOff>60325</xdr:rowOff>
    </xdr:from>
    <xdr:to>
      <xdr:col>29</xdr:col>
      <xdr:colOff>1189355</xdr:colOff>
      <xdr:row>6</xdr:row>
      <xdr:rowOff>603250</xdr:rowOff>
    </xdr:to>
    <xdr:pic>
      <xdr:nvPicPr>
        <xdr:cNvPr id="29" name="图片 2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7244040" y="4302125"/>
          <a:ext cx="561975" cy="542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9" tint="0.399884029663991"/>
    <pageSetUpPr fitToPage="1"/>
  </sheetPr>
  <dimension ref="A1:AE13"/>
  <sheetViews>
    <sheetView tabSelected="1" zoomScale="82" zoomScaleNormal="82" topLeftCell="A8" workbookViewId="0">
      <selection activeCell="S14" sqref="R14:S14"/>
    </sheetView>
  </sheetViews>
  <sheetFormatPr defaultColWidth="9" defaultRowHeight="16.5"/>
  <cols>
    <col min="1" max="1" width="39" style="4" customWidth="1"/>
    <col min="2" max="2" width="15.7333333333333" style="5" customWidth="1"/>
    <col min="3" max="3" width="13" style="6" customWidth="1"/>
    <col min="4" max="4" width="14.625" style="5" customWidth="1"/>
    <col min="5" max="5" width="16.875" style="6" customWidth="1"/>
    <col min="6" max="6" width="12.7" style="5" customWidth="1"/>
    <col min="7" max="7" width="12.7916666666667" style="5" customWidth="1"/>
    <col min="8" max="8" width="8.5" style="5"/>
    <col min="9" max="9" width="8.5" style="5" customWidth="1"/>
    <col min="10" max="10" width="9" style="5" customWidth="1"/>
    <col min="11" max="11" width="11.6" style="5" customWidth="1"/>
    <col min="12" max="12" width="8.7" style="5" customWidth="1"/>
    <col min="13" max="13" width="7.9" style="5" customWidth="1"/>
    <col min="14" max="14" width="6.1" style="5" customWidth="1"/>
    <col min="15" max="15" width="4.6" style="5" customWidth="1"/>
    <col min="16" max="16" width="14" style="5" customWidth="1"/>
    <col min="17" max="17" width="8.1" style="5" customWidth="1"/>
    <col min="18" max="18" width="11.1" style="5" customWidth="1"/>
    <col min="19" max="23" width="13" style="5" customWidth="1"/>
    <col min="24" max="26" width="5.79166666666667" style="5" customWidth="1"/>
    <col min="27" max="27" width="15.1" style="7" customWidth="1"/>
    <col min="28" max="29" width="14.5" style="7" customWidth="1"/>
    <col min="30" max="30" width="27.7916666666667" style="7" customWidth="1"/>
    <col min="31" max="31" width="32.0083333333333" style="8" customWidth="1"/>
    <col min="32" max="39" width="9" style="9"/>
    <col min="40" max="16384" width="9" style="4"/>
  </cols>
  <sheetData>
    <row r="1" s="3" customFormat="1" ht="54" customHeight="1" spans="1:31">
      <c r="A1" s="10" t="s">
        <v>0</v>
      </c>
      <c r="B1" s="11" t="s">
        <v>1</v>
      </c>
      <c r="C1" s="12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3" t="s">
        <v>11</v>
      </c>
      <c r="M1" s="11" t="s">
        <v>12</v>
      </c>
      <c r="N1" s="11" t="s">
        <v>13</v>
      </c>
      <c r="O1" s="14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5" t="s">
        <v>20</v>
      </c>
      <c r="V1" s="15" t="s">
        <v>21</v>
      </c>
      <c r="W1" s="15" t="s">
        <v>22</v>
      </c>
      <c r="X1" s="11" t="s">
        <v>23</v>
      </c>
      <c r="Y1" s="11" t="s">
        <v>24</v>
      </c>
      <c r="Z1" s="11" t="s">
        <v>25</v>
      </c>
      <c r="AA1" s="16" t="s">
        <v>26</v>
      </c>
      <c r="AB1" s="16" t="s">
        <v>27</v>
      </c>
      <c r="AC1" s="17" t="s">
        <v>28</v>
      </c>
      <c r="AD1" s="18" t="s">
        <v>29</v>
      </c>
      <c r="AE1" s="19" t="s">
        <v>30</v>
      </c>
    </row>
    <row r="2" ht="56" customHeight="1" spans="1:31">
      <c r="A2" s="20" t="s">
        <v>31</v>
      </c>
      <c r="B2" s="21" t="s">
        <v>32</v>
      </c>
      <c r="C2" s="21" t="s">
        <v>33</v>
      </c>
      <c r="D2" s="22" t="s">
        <v>34</v>
      </c>
      <c r="E2" s="21">
        <v>9503008900</v>
      </c>
      <c r="F2" s="21" t="s">
        <v>35</v>
      </c>
      <c r="G2" s="21" t="s">
        <v>36</v>
      </c>
      <c r="H2" s="21" t="s">
        <v>37</v>
      </c>
      <c r="I2" s="23" t="s">
        <v>38</v>
      </c>
      <c r="J2" s="24" t="s">
        <v>39</v>
      </c>
      <c r="K2" s="24" t="s">
        <v>40</v>
      </c>
      <c r="L2" s="25" t="s">
        <v>41</v>
      </c>
      <c r="M2" s="24">
        <v>1</v>
      </c>
      <c r="N2" s="24">
        <v>15</v>
      </c>
      <c r="O2" s="24"/>
      <c r="P2" s="21">
        <v>36</v>
      </c>
      <c r="Q2" s="24">
        <f t="shared" ref="Q2:Q11" si="0">M2*P2</f>
        <v>36</v>
      </c>
      <c r="R2" s="21">
        <v>6</v>
      </c>
      <c r="S2" s="24">
        <f t="shared" ref="S2:S9" si="1">R2*Q2</f>
        <v>216</v>
      </c>
      <c r="T2" s="24" t="s">
        <v>42</v>
      </c>
      <c r="U2" s="26">
        <v>18.235</v>
      </c>
      <c r="V2" s="26">
        <f t="shared" ref="V2:V9" si="2">U2*Q2</f>
        <v>656.46</v>
      </c>
      <c r="W2" s="26" t="s">
        <v>43</v>
      </c>
      <c r="X2" s="21">
        <v>53</v>
      </c>
      <c r="Y2" s="21">
        <v>29</v>
      </c>
      <c r="Z2" s="21">
        <v>37</v>
      </c>
      <c r="AA2" s="21" t="s">
        <v>44</v>
      </c>
      <c r="AB2" s="27" t="s">
        <v>45</v>
      </c>
      <c r="AC2" s="27" t="s">
        <v>46</v>
      </c>
      <c r="AD2" s="28"/>
      <c r="AE2" s="29" t="s">
        <v>47</v>
      </c>
    </row>
    <row r="3" ht="56" customHeight="1" spans="1:31">
      <c r="A3" s="20" t="s">
        <v>48</v>
      </c>
      <c r="B3" s="21" t="s">
        <v>49</v>
      </c>
      <c r="C3" s="21" t="s">
        <v>50</v>
      </c>
      <c r="D3" s="22" t="s">
        <v>51</v>
      </c>
      <c r="E3" s="21">
        <v>9503008900</v>
      </c>
      <c r="F3" s="21" t="s">
        <v>52</v>
      </c>
      <c r="G3" s="21" t="s">
        <v>53</v>
      </c>
      <c r="H3" s="21" t="s">
        <v>37</v>
      </c>
      <c r="I3" s="23" t="s">
        <v>38</v>
      </c>
      <c r="J3" s="24" t="s">
        <v>37</v>
      </c>
      <c r="K3" s="24" t="s">
        <v>40</v>
      </c>
      <c r="L3" s="25" t="s">
        <v>41</v>
      </c>
      <c r="M3" s="30">
        <v>1</v>
      </c>
      <c r="N3" s="30">
        <v>19</v>
      </c>
      <c r="O3" s="30"/>
      <c r="P3" s="21">
        <v>36</v>
      </c>
      <c r="Q3" s="24">
        <f t="shared" si="0"/>
        <v>36</v>
      </c>
      <c r="R3" s="21">
        <v>4</v>
      </c>
      <c r="S3" s="24">
        <f t="shared" si="1"/>
        <v>144</v>
      </c>
      <c r="T3" s="24" t="s">
        <v>42</v>
      </c>
      <c r="U3" s="26">
        <v>26</v>
      </c>
      <c r="V3" s="26">
        <f t="shared" si="2"/>
        <v>936</v>
      </c>
      <c r="W3" s="26" t="s">
        <v>43</v>
      </c>
      <c r="X3" s="21">
        <v>53</v>
      </c>
      <c r="Y3" s="21">
        <v>29</v>
      </c>
      <c r="Z3" s="21">
        <v>37</v>
      </c>
      <c r="AA3" s="21" t="s">
        <v>44</v>
      </c>
      <c r="AB3" s="27" t="s">
        <v>45</v>
      </c>
      <c r="AC3" s="27" t="s">
        <v>46</v>
      </c>
      <c r="AD3" s="28"/>
      <c r="AE3" s="29" t="s">
        <v>54</v>
      </c>
    </row>
    <row r="4" ht="56" customHeight="1" spans="1:31">
      <c r="A4" s="20" t="s">
        <v>55</v>
      </c>
      <c r="B4" s="21" t="s">
        <v>56</v>
      </c>
      <c r="C4" s="21" t="s">
        <v>57</v>
      </c>
      <c r="D4" s="22" t="s">
        <v>58</v>
      </c>
      <c r="E4" s="21">
        <v>9503008900</v>
      </c>
      <c r="F4" s="21" t="s">
        <v>35</v>
      </c>
      <c r="G4" s="21" t="s">
        <v>36</v>
      </c>
      <c r="H4" s="21" t="s">
        <v>37</v>
      </c>
      <c r="I4" s="23" t="s">
        <v>38</v>
      </c>
      <c r="J4" s="24" t="s">
        <v>59</v>
      </c>
      <c r="K4" s="24" t="s">
        <v>40</v>
      </c>
      <c r="L4" s="25" t="s">
        <v>41</v>
      </c>
      <c r="M4" s="30">
        <v>2</v>
      </c>
      <c r="N4" s="30">
        <v>11</v>
      </c>
      <c r="O4" s="30"/>
      <c r="P4" s="21">
        <v>36</v>
      </c>
      <c r="Q4" s="24">
        <f t="shared" si="0"/>
        <v>72</v>
      </c>
      <c r="R4" s="21">
        <v>4</v>
      </c>
      <c r="S4" s="24">
        <f t="shared" si="1"/>
        <v>288</v>
      </c>
      <c r="T4" s="24" t="s">
        <v>42</v>
      </c>
      <c r="U4" s="26">
        <v>14.325</v>
      </c>
      <c r="V4" s="26">
        <f t="shared" si="2"/>
        <v>1031.4</v>
      </c>
      <c r="W4" s="26" t="s">
        <v>43</v>
      </c>
      <c r="X4" s="21">
        <v>53</v>
      </c>
      <c r="Y4" s="21">
        <v>29</v>
      </c>
      <c r="Z4" s="21">
        <v>37</v>
      </c>
      <c r="AA4" s="21" t="s">
        <v>44</v>
      </c>
      <c r="AB4" s="27" t="s">
        <v>45</v>
      </c>
      <c r="AC4" s="27" t="s">
        <v>46</v>
      </c>
      <c r="AD4" s="28"/>
      <c r="AE4" s="29" t="s">
        <v>60</v>
      </c>
    </row>
    <row r="5" ht="56" customHeight="1" spans="1:31">
      <c r="A5" s="20" t="s">
        <v>61</v>
      </c>
      <c r="B5" s="21" t="s">
        <v>56</v>
      </c>
      <c r="C5" s="21" t="s">
        <v>57</v>
      </c>
      <c r="D5" s="22" t="s">
        <v>62</v>
      </c>
      <c r="E5" s="21">
        <v>9503008900</v>
      </c>
      <c r="F5" s="21" t="s">
        <v>35</v>
      </c>
      <c r="G5" s="21" t="s">
        <v>36</v>
      </c>
      <c r="H5" s="21" t="s">
        <v>37</v>
      </c>
      <c r="I5" s="23" t="s">
        <v>38</v>
      </c>
      <c r="J5" s="24" t="s">
        <v>63</v>
      </c>
      <c r="K5" s="24" t="s">
        <v>40</v>
      </c>
      <c r="L5" s="25" t="s">
        <v>41</v>
      </c>
      <c r="M5" s="30">
        <v>2</v>
      </c>
      <c r="N5" s="30">
        <v>11</v>
      </c>
      <c r="O5" s="30"/>
      <c r="P5" s="21">
        <v>36</v>
      </c>
      <c r="Q5" s="24">
        <f t="shared" si="0"/>
        <v>72</v>
      </c>
      <c r="R5" s="21">
        <v>4</v>
      </c>
      <c r="S5" s="24">
        <f t="shared" si="1"/>
        <v>288</v>
      </c>
      <c r="T5" s="24" t="s">
        <v>42</v>
      </c>
      <c r="U5" s="26">
        <v>14.325</v>
      </c>
      <c r="V5" s="26">
        <f t="shared" si="2"/>
        <v>1031.4</v>
      </c>
      <c r="W5" s="26" t="s">
        <v>43</v>
      </c>
      <c r="X5" s="21">
        <v>53</v>
      </c>
      <c r="Y5" s="21">
        <v>29</v>
      </c>
      <c r="Z5" s="21">
        <v>37</v>
      </c>
      <c r="AA5" s="21" t="s">
        <v>44</v>
      </c>
      <c r="AB5" s="27" t="s">
        <v>45</v>
      </c>
      <c r="AC5" s="27" t="s">
        <v>46</v>
      </c>
      <c r="AD5" s="28"/>
      <c r="AE5" s="29" t="s">
        <v>54</v>
      </c>
    </row>
    <row r="6" ht="56" customHeight="1" spans="1:31">
      <c r="A6" s="20" t="s">
        <v>64</v>
      </c>
      <c r="B6" s="21" t="s">
        <v>65</v>
      </c>
      <c r="C6" s="21" t="s">
        <v>66</v>
      </c>
      <c r="D6" s="22" t="s">
        <v>67</v>
      </c>
      <c r="E6" s="21">
        <v>9503008900</v>
      </c>
      <c r="F6" s="21" t="s">
        <v>68</v>
      </c>
      <c r="G6" s="21" t="s">
        <v>69</v>
      </c>
      <c r="H6" s="21" t="s">
        <v>37</v>
      </c>
      <c r="I6" s="23" t="s">
        <v>38</v>
      </c>
      <c r="J6" s="24" t="s">
        <v>37</v>
      </c>
      <c r="K6" s="24" t="s">
        <v>40</v>
      </c>
      <c r="L6" s="25" t="s">
        <v>41</v>
      </c>
      <c r="M6" s="31">
        <v>1</v>
      </c>
      <c r="N6" s="31">
        <v>16</v>
      </c>
      <c r="O6" s="31"/>
      <c r="P6" s="21">
        <v>20</v>
      </c>
      <c r="Q6" s="24">
        <f t="shared" si="0"/>
        <v>20</v>
      </c>
      <c r="R6" s="21">
        <v>5</v>
      </c>
      <c r="S6" s="24">
        <f t="shared" si="1"/>
        <v>100</v>
      </c>
      <c r="T6" s="24" t="s">
        <v>42</v>
      </c>
      <c r="U6" s="26">
        <v>22.1</v>
      </c>
      <c r="V6" s="26">
        <f t="shared" si="2"/>
        <v>442</v>
      </c>
      <c r="W6" s="26" t="s">
        <v>43</v>
      </c>
      <c r="X6" s="21">
        <v>53</v>
      </c>
      <c r="Y6" s="21">
        <v>29</v>
      </c>
      <c r="Z6" s="21">
        <v>37</v>
      </c>
      <c r="AA6" s="21" t="s">
        <v>44</v>
      </c>
      <c r="AB6" s="27" t="s">
        <v>45</v>
      </c>
      <c r="AC6" s="27" t="s">
        <v>46</v>
      </c>
      <c r="AD6" s="28"/>
      <c r="AE6" s="29" t="s">
        <v>70</v>
      </c>
    </row>
    <row r="7" ht="56" customHeight="1" spans="1:31">
      <c r="A7" s="20" t="s">
        <v>71</v>
      </c>
      <c r="B7" s="21" t="s">
        <v>72</v>
      </c>
      <c r="C7" s="21" t="s">
        <v>73</v>
      </c>
      <c r="D7" s="22" t="s">
        <v>74</v>
      </c>
      <c r="E7" s="21">
        <v>9503008900</v>
      </c>
      <c r="F7" s="21" t="s">
        <v>75</v>
      </c>
      <c r="G7" s="21" t="s">
        <v>76</v>
      </c>
      <c r="H7" s="21" t="s">
        <v>37</v>
      </c>
      <c r="I7" s="23" t="s">
        <v>38</v>
      </c>
      <c r="J7" s="24" t="s">
        <v>37</v>
      </c>
      <c r="K7" s="24" t="s">
        <v>40</v>
      </c>
      <c r="L7" s="25" t="s">
        <v>41</v>
      </c>
      <c r="M7" s="31">
        <v>2</v>
      </c>
      <c r="N7" s="31">
        <v>12</v>
      </c>
      <c r="O7" s="31"/>
      <c r="P7" s="21">
        <v>40</v>
      </c>
      <c r="Q7" s="24">
        <f t="shared" si="0"/>
        <v>80</v>
      </c>
      <c r="R7" s="21">
        <v>5</v>
      </c>
      <c r="S7" s="24">
        <f t="shared" si="1"/>
        <v>400</v>
      </c>
      <c r="T7" s="24" t="s">
        <v>42</v>
      </c>
      <c r="U7" s="26">
        <v>9.75</v>
      </c>
      <c r="V7" s="26">
        <f t="shared" si="2"/>
        <v>780</v>
      </c>
      <c r="W7" s="26" t="s">
        <v>43</v>
      </c>
      <c r="X7" s="21">
        <v>53</v>
      </c>
      <c r="Y7" s="21">
        <v>29</v>
      </c>
      <c r="Z7" s="21">
        <v>37</v>
      </c>
      <c r="AA7" s="21" t="s">
        <v>44</v>
      </c>
      <c r="AB7" s="27" t="s">
        <v>45</v>
      </c>
      <c r="AC7" s="27" t="s">
        <v>46</v>
      </c>
      <c r="AD7" s="28"/>
      <c r="AE7" s="29" t="s">
        <v>77</v>
      </c>
    </row>
    <row r="8" ht="56" customHeight="1" spans="1:31">
      <c r="A8" s="20" t="s">
        <v>78</v>
      </c>
      <c r="B8" s="21" t="s">
        <v>79</v>
      </c>
      <c r="C8" s="21" t="s">
        <v>80</v>
      </c>
      <c r="D8" s="22" t="s">
        <v>81</v>
      </c>
      <c r="E8" s="21">
        <v>9503008900</v>
      </c>
      <c r="F8" s="21" t="s">
        <v>35</v>
      </c>
      <c r="G8" s="21" t="s">
        <v>36</v>
      </c>
      <c r="H8" s="21" t="s">
        <v>82</v>
      </c>
      <c r="I8" s="23" t="s">
        <v>38</v>
      </c>
      <c r="J8" s="24" t="s">
        <v>83</v>
      </c>
      <c r="K8" s="24" t="s">
        <v>40</v>
      </c>
      <c r="L8" s="25" t="s">
        <v>41</v>
      </c>
      <c r="M8" s="31">
        <v>3</v>
      </c>
      <c r="N8" s="31">
        <v>16</v>
      </c>
      <c r="O8" s="31"/>
      <c r="P8" s="21">
        <v>45</v>
      </c>
      <c r="Q8" s="24">
        <f t="shared" si="0"/>
        <v>135</v>
      </c>
      <c r="R8" s="21">
        <v>5</v>
      </c>
      <c r="S8" s="24">
        <f t="shared" si="1"/>
        <v>675</v>
      </c>
      <c r="T8" s="24" t="s">
        <v>42</v>
      </c>
      <c r="U8" s="26">
        <v>14.325</v>
      </c>
      <c r="V8" s="26">
        <f t="shared" si="2"/>
        <v>1933.875</v>
      </c>
      <c r="W8" s="26" t="s">
        <v>43</v>
      </c>
      <c r="X8" s="21">
        <v>53</v>
      </c>
      <c r="Y8" s="21">
        <v>29</v>
      </c>
      <c r="Z8" s="21">
        <v>37</v>
      </c>
      <c r="AA8" s="21" t="s">
        <v>44</v>
      </c>
      <c r="AB8" s="27" t="s">
        <v>45</v>
      </c>
      <c r="AC8" s="27" t="s">
        <v>46</v>
      </c>
      <c r="AD8" s="28"/>
      <c r="AE8" s="29" t="s">
        <v>84</v>
      </c>
    </row>
    <row r="9" ht="56" customHeight="1" spans="1:31">
      <c r="A9" s="20" t="s">
        <v>85</v>
      </c>
      <c r="B9" s="21" t="s">
        <v>86</v>
      </c>
      <c r="C9" s="21" t="s">
        <v>87</v>
      </c>
      <c r="D9" s="22" t="s">
        <v>88</v>
      </c>
      <c r="E9" s="21">
        <v>9503008900</v>
      </c>
      <c r="F9" s="21" t="s">
        <v>68</v>
      </c>
      <c r="G9" s="21" t="s">
        <v>69</v>
      </c>
      <c r="H9" s="21" t="s">
        <v>37</v>
      </c>
      <c r="I9" s="23" t="s">
        <v>38</v>
      </c>
      <c r="J9" s="24" t="s">
        <v>37</v>
      </c>
      <c r="K9" s="24" t="s">
        <v>40</v>
      </c>
      <c r="L9" s="25" t="s">
        <v>41</v>
      </c>
      <c r="M9" s="31">
        <v>1</v>
      </c>
      <c r="N9" s="31">
        <v>21</v>
      </c>
      <c r="O9" s="31"/>
      <c r="P9" s="21">
        <v>24</v>
      </c>
      <c r="Q9" s="24">
        <f t="shared" si="0"/>
        <v>24</v>
      </c>
      <c r="R9" s="21">
        <v>7</v>
      </c>
      <c r="S9" s="24">
        <f t="shared" si="1"/>
        <v>168</v>
      </c>
      <c r="T9" s="24" t="s">
        <v>42</v>
      </c>
      <c r="U9" s="26">
        <v>26</v>
      </c>
      <c r="V9" s="26">
        <f t="shared" si="2"/>
        <v>624</v>
      </c>
      <c r="W9" s="26" t="s">
        <v>43</v>
      </c>
      <c r="X9" s="21">
        <v>53</v>
      </c>
      <c r="Y9" s="21">
        <v>29</v>
      </c>
      <c r="Z9" s="21">
        <v>37</v>
      </c>
      <c r="AA9" s="21" t="s">
        <v>44</v>
      </c>
      <c r="AB9" s="27" t="s">
        <v>45</v>
      </c>
      <c r="AC9" s="27" t="s">
        <v>46</v>
      </c>
      <c r="AD9" s="28"/>
      <c r="AE9" s="29" t="s">
        <v>89</v>
      </c>
    </row>
    <row r="10" ht="56" customHeight="1" spans="1:31">
      <c r="A10" s="20" t="s">
        <v>90</v>
      </c>
      <c r="B10" s="21" t="s">
        <v>79</v>
      </c>
      <c r="C10" s="21" t="s">
        <v>80</v>
      </c>
      <c r="D10" s="22" t="s">
        <v>91</v>
      </c>
      <c r="E10" s="21">
        <v>9503008900</v>
      </c>
      <c r="F10" s="21" t="s">
        <v>35</v>
      </c>
      <c r="G10" s="21" t="s">
        <v>36</v>
      </c>
      <c r="H10" s="21" t="s">
        <v>82</v>
      </c>
      <c r="I10" s="23" t="s">
        <v>38</v>
      </c>
      <c r="J10" s="24" t="s">
        <v>83</v>
      </c>
      <c r="K10" s="24" t="s">
        <v>40</v>
      </c>
      <c r="L10" s="25" t="s">
        <v>41</v>
      </c>
      <c r="M10" s="31">
        <v>1</v>
      </c>
      <c r="N10" s="31">
        <v>16</v>
      </c>
      <c r="O10" s="31"/>
      <c r="P10" s="21">
        <v>45</v>
      </c>
      <c r="Q10" s="24">
        <f t="shared" si="0"/>
        <v>45</v>
      </c>
      <c r="R10" s="21">
        <v>5</v>
      </c>
      <c r="S10" s="24">
        <f t="shared" ref="S10:S19" si="3">R10*Q10</f>
        <v>225</v>
      </c>
      <c r="T10" s="24" t="s">
        <v>42</v>
      </c>
      <c r="U10" s="26">
        <v>14.325</v>
      </c>
      <c r="V10" s="26">
        <f t="shared" ref="V10:V19" si="4">U10*Q10</f>
        <v>644.625</v>
      </c>
      <c r="W10" s="26" t="s">
        <v>43</v>
      </c>
      <c r="X10" s="21">
        <v>53</v>
      </c>
      <c r="Y10" s="21">
        <v>29</v>
      </c>
      <c r="Z10" s="21">
        <v>37</v>
      </c>
      <c r="AA10" s="21" t="s">
        <v>44</v>
      </c>
      <c r="AB10" s="27" t="s">
        <v>45</v>
      </c>
      <c r="AC10" s="27" t="s">
        <v>46</v>
      </c>
      <c r="AD10" s="28"/>
      <c r="AE10" s="29" t="s">
        <v>84</v>
      </c>
    </row>
    <row r="11" ht="56" customHeight="1" spans="1:31">
      <c r="A11" s="20" t="s">
        <v>92</v>
      </c>
      <c r="B11" s="21" t="s">
        <v>93</v>
      </c>
      <c r="C11" s="21" t="s">
        <v>94</v>
      </c>
      <c r="D11" s="22" t="s">
        <v>95</v>
      </c>
      <c r="E11" s="21">
        <v>9503008900</v>
      </c>
      <c r="F11" s="21" t="s">
        <v>68</v>
      </c>
      <c r="G11" s="21" t="s">
        <v>69</v>
      </c>
      <c r="H11" s="21" t="s">
        <v>37</v>
      </c>
      <c r="I11" s="23" t="s">
        <v>38</v>
      </c>
      <c r="J11" s="24" t="s">
        <v>37</v>
      </c>
      <c r="K11" s="24" t="s">
        <v>40</v>
      </c>
      <c r="L11" s="25" t="s">
        <v>41</v>
      </c>
      <c r="M11" s="31">
        <v>1</v>
      </c>
      <c r="N11" s="31">
        <v>18</v>
      </c>
      <c r="O11" s="31"/>
      <c r="P11" s="21">
        <v>36</v>
      </c>
      <c r="Q11" s="24">
        <f t="shared" si="0"/>
        <v>36</v>
      </c>
      <c r="R11" s="21">
        <v>4</v>
      </c>
      <c r="S11" s="24">
        <f t="shared" si="3"/>
        <v>144</v>
      </c>
      <c r="T11" s="24" t="s">
        <v>42</v>
      </c>
      <c r="U11" s="26">
        <v>14.625</v>
      </c>
      <c r="V11" s="26">
        <f t="shared" si="4"/>
        <v>526.5</v>
      </c>
      <c r="W11" s="26" t="s">
        <v>43</v>
      </c>
      <c r="X11" s="21">
        <v>53</v>
      </c>
      <c r="Y11" s="21">
        <v>29</v>
      </c>
      <c r="Z11" s="21">
        <v>37</v>
      </c>
      <c r="AA11" s="21" t="s">
        <v>44</v>
      </c>
      <c r="AB11" s="27" t="s">
        <v>45</v>
      </c>
      <c r="AC11" s="27" t="s">
        <v>46</v>
      </c>
      <c r="AD11" s="28"/>
      <c r="AE11" s="29" t="s">
        <v>96</v>
      </c>
    </row>
    <row r="12" ht="56" customHeight="1" spans="1:31">
      <c r="A12" s="32"/>
      <c r="B12" s="21" t="s">
        <v>93</v>
      </c>
      <c r="C12" s="21" t="s">
        <v>94</v>
      </c>
      <c r="D12" s="22" t="s">
        <v>97</v>
      </c>
      <c r="E12" s="21">
        <v>9503008900</v>
      </c>
      <c r="F12" s="21" t="s">
        <v>68</v>
      </c>
      <c r="G12" s="21" t="s">
        <v>69</v>
      </c>
      <c r="H12" s="21" t="s">
        <v>37</v>
      </c>
      <c r="I12" s="23" t="s">
        <v>38</v>
      </c>
      <c r="J12" s="24" t="s">
        <v>37</v>
      </c>
      <c r="K12" s="24" t="s">
        <v>40</v>
      </c>
      <c r="L12" s="25" t="s">
        <v>41</v>
      </c>
      <c r="M12" s="31"/>
      <c r="N12" s="31"/>
      <c r="O12" s="31"/>
      <c r="P12" s="21">
        <v>10</v>
      </c>
      <c r="Q12" s="24">
        <v>10</v>
      </c>
      <c r="R12" s="21">
        <v>6</v>
      </c>
      <c r="S12" s="24">
        <f t="shared" si="3"/>
        <v>60</v>
      </c>
      <c r="T12" s="24" t="s">
        <v>42</v>
      </c>
      <c r="U12" s="26">
        <v>24.05</v>
      </c>
      <c r="V12" s="26">
        <f t="shared" si="4"/>
        <v>240.5</v>
      </c>
      <c r="W12" s="26" t="s">
        <v>43</v>
      </c>
      <c r="X12" s="21">
        <v>53</v>
      </c>
      <c r="Y12" s="21">
        <v>29</v>
      </c>
      <c r="Z12" s="21">
        <v>37</v>
      </c>
      <c r="AA12" s="21" t="s">
        <v>44</v>
      </c>
      <c r="AB12" s="27" t="s">
        <v>45</v>
      </c>
      <c r="AC12" s="27" t="s">
        <v>46</v>
      </c>
      <c r="AD12" s="28"/>
      <c r="AE12" s="29" t="s">
        <v>96</v>
      </c>
    </row>
    <row r="13" ht="56" customHeight="1" spans="1:31">
      <c r="A13" s="20" t="s">
        <v>98</v>
      </c>
      <c r="B13" s="21" t="s">
        <v>72</v>
      </c>
      <c r="C13" s="21" t="s">
        <v>73</v>
      </c>
      <c r="D13" s="22" t="s">
        <v>99</v>
      </c>
      <c r="E13" s="21">
        <v>9503008900</v>
      </c>
      <c r="F13" s="21" t="s">
        <v>75</v>
      </c>
      <c r="G13" s="21" t="s">
        <v>76</v>
      </c>
      <c r="H13" s="21" t="s">
        <v>37</v>
      </c>
      <c r="I13" s="23" t="s">
        <v>38</v>
      </c>
      <c r="J13" s="24" t="s">
        <v>37</v>
      </c>
      <c r="K13" s="24" t="s">
        <v>40</v>
      </c>
      <c r="L13" s="25" t="s">
        <v>41</v>
      </c>
      <c r="M13" s="31">
        <v>1</v>
      </c>
      <c r="N13" s="31">
        <v>12</v>
      </c>
      <c r="O13" s="31"/>
      <c r="P13" s="21">
        <v>40</v>
      </c>
      <c r="Q13" s="24">
        <f>M13*P13</f>
        <v>40</v>
      </c>
      <c r="R13" s="21">
        <v>5</v>
      </c>
      <c r="S13" s="24">
        <f t="shared" si="3"/>
        <v>200</v>
      </c>
      <c r="T13" s="24" t="s">
        <v>42</v>
      </c>
      <c r="U13" s="26">
        <v>9.75</v>
      </c>
      <c r="V13" s="26">
        <f t="shared" si="4"/>
        <v>390</v>
      </c>
      <c r="W13" s="26" t="s">
        <v>43</v>
      </c>
      <c r="X13" s="21">
        <v>53</v>
      </c>
      <c r="Y13" s="21">
        <v>29</v>
      </c>
      <c r="Z13" s="21">
        <v>37</v>
      </c>
      <c r="AA13" s="21" t="s">
        <v>44</v>
      </c>
      <c r="AB13" s="27" t="s">
        <v>45</v>
      </c>
      <c r="AC13" s="27" t="s">
        <v>46</v>
      </c>
      <c r="AD13" s="28"/>
      <c r="AE13" s="29" t="s">
        <v>77</v>
      </c>
    </row>
  </sheetData>
  <dataValidations count="4">
    <dataValidation type="list" allowBlank="1" showInputMessage="1" showErrorMessage="1" sqref="I2:I1048576">
      <formula1>"无品牌,境内自主品牌,境内收购品牌,境外品牌（贴牌生产）,境外品牌（其他）"</formula1>
    </dataValidation>
    <dataValidation type="list" allowBlank="1" showInputMessage="1" showErrorMessage="1" sqref="L2:L1048576">
      <formula1>"普货,带磁,带电,商检,纺织品,带磁带电"</formula1>
    </dataValidation>
    <dataValidation type="list" allowBlank="1" showInputMessage="1" showErrorMessage="1" sqref="T2:T13">
      <formula1>"USD,GBP,EUR,CAD,AUD"</formula1>
    </dataValidation>
    <dataValidation allowBlank="1" showInputMessage="1" showErrorMessage="1" sqref="U$1:W$1048576"/>
  </dataValidations>
  <printOptions horizontalCentered="1" verticalCentered="1"/>
  <pageMargins left="0.389583333333333" right="0" top="0" bottom="0" header="0.169444444444444" footer="0"/>
  <pageSetup paperSize="9" scale="41" orientation="landscape" horizontalDpi="600" verticalDpi="600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15"/>
  <sheetViews>
    <sheetView workbookViewId="0">
      <selection activeCell="E20" sqref="E20"/>
    </sheetView>
  </sheetViews>
  <sheetFormatPr defaultColWidth="8.66666666666667" defaultRowHeight="17.25"/>
  <cols>
    <col min="1" max="16384" width="8.66666666666667" style="1"/>
  </cols>
  <sheetData>
    <row r="1" spans="1:18">
      <c r="A1" s="2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="1" customFormat="1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="1" customFormat="1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ht="138" customHeight="1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</sheetData>
  <mergeCells count="1">
    <mergeCell ref="A1:R1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客户货物运输委托书 </vt:lpstr>
      <vt:lpstr>表格要求说明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admin</cp:lastModifiedBy>
  <cp:revision>1</cp:revision>
  <dcterms:created xsi:type="dcterms:W3CDTF">2012-11-20T18:49:00Z</dcterms:created>
  <cp:lastPrinted>2018-03-27T22:13:00Z</cp:lastPrinted>
  <dcterms:modified xsi:type="dcterms:W3CDTF">2025-11-27T03:06:25Z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920114A7D69447A5A75FEE5E0D87723B_13</vt:lpwstr>
  </property>
</Properties>
</file>