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596"/>
  </bookViews>
  <sheets>
    <sheet name="QXY8-20件" sheetId="82" r:id="rId1"/>
    <sheet name="GEU2-20件" sheetId="84" r:id="rId2"/>
    <sheet name="POC1-20件" sheetId="83" r:id="rId3"/>
    <sheet name="表格要求说明" sheetId="74" r:id="rId4"/>
  </sheets>
  <definedNames>
    <definedName name="_xlnm._FilterDatabase" localSheetId="0" hidden="1">'QXY8-20件'!$A$1:$AM$3</definedName>
    <definedName name="_xlnm._FilterDatabase" localSheetId="1" hidden="1">'GEU2-20件'!$A$1:$AM$3</definedName>
    <definedName name="_xlnm._FilterDatabase" localSheetId="2" hidden="1">'POC1-20件'!$A$1:$AM$3</definedName>
    <definedName name="_xlnm.Print_Area" localSheetId="0">'QXY8-20件'!$B$1:$AE$1</definedName>
    <definedName name="_xlnm.Print_Area" localSheetId="2">'POC1-20件'!$B$1:$AE$1</definedName>
    <definedName name="_xlnm.Print_Area" localSheetId="1">'GEU2-20件'!$B$1:$AE$1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comments2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comments3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222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<sst xmlns="http://schemas.openxmlformats.org/spreadsheetml/2006/main" count="178" uniqueCount="56">
  <si>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</si>
  <si>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</si>
  <si>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</si>
  <si>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</si>
  <si>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</si>
  <si>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</si>
  <si>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</si>
  <si>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</si>
  <si>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</si>
  <si>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</si>
  <si>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</si>
  <si>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</si>
  <si>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</si>
  <si>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</si>
  <si>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</si>
  <si>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</si>
  <si>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</si>
  <si>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</si>
  <si>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</si>
  <si>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</si>
  <si>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</si>
  <si>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</si>
  <si>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</si>
  <si>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</si>
  <si>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</si>
  <si>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</si>
  <si>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</si>
  <si>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</si>
  <si>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</si>
  <si>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</si>
  <si>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</si>
  <si>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FBA1941W1VG8U000001-FBA1941W1VG8U000005</t>
  </si>
  <si>
    <t>宠物窝</t>
  </si>
  <si>
    <t>Pet nest</t>
  </si>
  <si>
    <t>涤纶</t>
  </si>
  <si>
    <t>polyester</t>
  </si>
  <si>
    <t>无</t>
  </si>
  <si>
    <t>宠物用</t>
  </si>
  <si>
    <t>普货</t>
  </si>
  <si>
    <t>USD</t>
  </si>
  <si>
    <t>CNY</t>
  </si>
  <si>
    <t>399ISMSC</t>
  </si>
  <si>
    <t>QXY8</t>
  </si>
  <si>
    <t>FBA1941WS2BRU000001-FBA1941WS2BRU000015</t>
  </si>
  <si>
    <t>8NB4NC2O</t>
  </si>
  <si>
    <t>FBA1941W9L20U000001-FBA1941W9L20U000015</t>
  </si>
  <si>
    <t>7M1PEKNQ</t>
  </si>
  <si>
    <t>GEU2</t>
  </si>
  <si>
    <t>FBA1941W04KXU000001-FBA1941W04KXU000005</t>
  </si>
  <si>
    <t>3CLYH8ON</t>
  </si>
  <si>
    <t>FBA1941W2KY1U000001-FBA1941W2KY1U000015</t>
  </si>
  <si>
    <t>5IVH6U2O</t>
  </si>
  <si>
    <t>POC1</t>
  </si>
  <si>
    <t>FBA1941X5J07U000001-FBA1941X5J07U000005</t>
  </si>
  <si>
    <t>5RNU1PDO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</si>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</sst>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);[Red]\(0.00\)"/>
    <numFmt numFmtId="178" formatCode="0_ "/>
  </numFmts>
  <fonts count="44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"/>
    </font>
    <font>
      <sz val="10"/>
      <name val="微软雅黑"/>
      <charset val="134"/>
    </font>
    <font>
      <b/>
      <sz val="11"/>
      <name val="微软雅黑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微软雅黑"/>
      <charset val="1"/>
    </font>
    <font>
      <b/>
      <sz val="11"/>
      <color rgb="FFFF0000"/>
      <name val="微软雅黑"/>
      <charset val="134"/>
    </font>
    <font>
      <sz val="14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微软雅黑"/>
      <charset val="134"/>
    </font>
    <font>
      <sz val="12"/>
      <name val="Times New Roman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60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indexed="17"/>
      <name val="宋体"/>
      <charset val="134"/>
    </font>
    <font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9"/>
      <name val="宋体"/>
      <charset val="134"/>
    </font>
    <font>
      <sz val="9"/>
      <name val="Tahoma"/>
      <charset val="222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9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34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35" fillId="0" borderId="0"/>
    <xf numFmtId="0" fontId="0" fillId="0" borderId="0">
      <alignment vertical="center"/>
    </xf>
    <xf numFmtId="0" fontId="7" fillId="0" borderId="0"/>
    <xf numFmtId="0" fontId="0" fillId="0" borderId="0">
      <alignment vertical="center"/>
    </xf>
    <xf numFmtId="0" fontId="36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38" fillId="35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Normale_Foglio1" xfId="50"/>
    <cellStyle name="差_报关资料" xfId="51"/>
    <cellStyle name="常规 10" xfId="52"/>
    <cellStyle name="常规 10 2 2" xfId="53"/>
    <cellStyle name="常规 12" xfId="54"/>
    <cellStyle name="常规 13" xfId="55"/>
    <cellStyle name="常规 2" xfId="56"/>
    <cellStyle name="常规 2 2 2" xfId="57"/>
    <cellStyle name="常规 2_报关资料" xfId="58"/>
    <cellStyle name="常规 3" xfId="59"/>
    <cellStyle name="常规 6" xfId="60"/>
    <cellStyle name="常规 6 2" xfId="61"/>
    <cellStyle name="常规 6 2 2 2" xfId="62"/>
    <cellStyle name="超链接 2" xfId="63"/>
    <cellStyle name="好_报关资料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325120</xdr:colOff>
      <xdr:row>1</xdr:row>
      <xdr:rowOff>37465</xdr:rowOff>
    </xdr:from>
    <xdr:to>
      <xdr:col>29</xdr:col>
      <xdr:colOff>2032635</xdr:colOff>
      <xdr:row>6</xdr:row>
      <xdr:rowOff>38735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463750" y="723265"/>
          <a:ext cx="1707515" cy="127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325120</xdr:colOff>
      <xdr:row>1</xdr:row>
      <xdr:rowOff>0</xdr:rowOff>
    </xdr:from>
    <xdr:to>
      <xdr:col>29</xdr:col>
      <xdr:colOff>2032635</xdr:colOff>
      <xdr:row>6</xdr:row>
      <xdr:rowOff>134620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463750" y="685800"/>
          <a:ext cx="1707515" cy="127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325120</xdr:colOff>
      <xdr:row>1</xdr:row>
      <xdr:rowOff>0</xdr:rowOff>
    </xdr:from>
    <xdr:to>
      <xdr:col>29</xdr:col>
      <xdr:colOff>2032635</xdr:colOff>
      <xdr:row>6</xdr:row>
      <xdr:rowOff>134620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7463750" y="685800"/>
          <a:ext cx="1707515" cy="127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853511154515"/>
    <pageSetUpPr fitToPage="1"/>
  </sheetPr>
  <dimension ref="A1:AE3"/>
  <sheetViews>
    <sheetView tabSelected="1" zoomScale="82" zoomScaleNormal="82" topLeftCell="E1" workbookViewId="0">
      <selection activeCell="M15" sqref="M15"/>
    </sheetView>
  </sheetViews>
  <sheetFormatPr defaultColWidth="9" defaultRowHeight="16.5" outlineLevelRow="2"/>
  <cols>
    <col min="1" max="1" width="46.25" style="4" customWidth="1"/>
    <col min="2" max="2" width="15.75" style="5" customWidth="1"/>
    <col min="3" max="3" width="13" style="6" customWidth="1"/>
    <col min="4" max="4" width="11.875" style="5" customWidth="1"/>
    <col min="5" max="5" width="16.875" style="6" customWidth="1"/>
    <col min="6" max="7" width="12.75" style="5" customWidth="1"/>
    <col min="8" max="8" width="9" style="5"/>
    <col min="9" max="9" width="8.5" style="5" customWidth="1"/>
    <col min="10" max="10" width="9" style="5" customWidth="1"/>
    <col min="11" max="11" width="11.625" style="5" customWidth="1"/>
    <col min="12" max="12" width="8.75" style="5" customWidth="1"/>
    <col min="13" max="13" width="7.875" style="5" customWidth="1"/>
    <col min="14" max="14" width="6.125" style="5" customWidth="1"/>
    <col min="15" max="15" width="6.4" style="5" customWidth="1"/>
    <col min="16" max="16" width="14" style="5" customWidth="1"/>
    <col min="17" max="17" width="8.125" style="5" customWidth="1"/>
    <col min="18" max="18" width="11.125" style="5" customWidth="1"/>
    <col min="19" max="23" width="13" style="5" customWidth="1"/>
    <col min="24" max="26" width="5.75" style="5" customWidth="1"/>
    <col min="27" max="27" width="15.125" style="7" customWidth="1"/>
    <col min="28" max="29" width="14.5" style="7" customWidth="1"/>
    <col min="30" max="30" width="27.75" style="7" customWidth="1"/>
    <col min="31" max="31" width="32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9" t="s">
        <v>11</v>
      </c>
      <c r="M1" s="11" t="s">
        <v>12</v>
      </c>
      <c r="N1" s="11" t="s">
        <v>13</v>
      </c>
      <c r="O1" s="20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23" t="s">
        <v>20</v>
      </c>
      <c r="V1" s="23" t="s">
        <v>21</v>
      </c>
      <c r="W1" s="23" t="s">
        <v>22</v>
      </c>
      <c r="X1" s="11" t="s">
        <v>23</v>
      </c>
      <c r="Y1" s="11" t="s">
        <v>24</v>
      </c>
      <c r="Z1" s="11" t="s">
        <v>25</v>
      </c>
      <c r="AA1" s="28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ht="30.75" customHeight="1" spans="1:30">
      <c r="A2" s="13" t="s">
        <v>31</v>
      </c>
      <c r="B2" s="14" t="s">
        <v>32</v>
      </c>
      <c r="C2" s="15" t="s">
        <v>33</v>
      </c>
      <c r="D2" s="16"/>
      <c r="E2" s="17">
        <v>6307909000</v>
      </c>
      <c r="F2" s="18" t="s">
        <v>34</v>
      </c>
      <c r="G2" s="18" t="s">
        <v>35</v>
      </c>
      <c r="H2" s="15" t="s">
        <v>36</v>
      </c>
      <c r="I2" s="15" t="s">
        <v>36</v>
      </c>
      <c r="J2" s="15" t="s">
        <v>36</v>
      </c>
      <c r="K2" s="18" t="s">
        <v>37</v>
      </c>
      <c r="L2" s="16" t="s">
        <v>38</v>
      </c>
      <c r="M2" s="21">
        <v>5</v>
      </c>
      <c r="N2" s="5">
        <f>O2-1</f>
        <v>11.7</v>
      </c>
      <c r="O2" s="22">
        <v>12.7</v>
      </c>
      <c r="P2" s="5">
        <f>Q2/M2</f>
        <v>4</v>
      </c>
      <c r="Q2" s="24">
        <v>20</v>
      </c>
      <c r="R2" s="5">
        <v>3</v>
      </c>
      <c r="S2" s="5">
        <f>R2*Q2</f>
        <v>60</v>
      </c>
      <c r="T2" s="25" t="s">
        <v>39</v>
      </c>
      <c r="U2" s="5">
        <f>37.99*0.3*7.2</f>
        <v>82.0584</v>
      </c>
      <c r="V2" s="5">
        <f>U2*Q2</f>
        <v>1641.168</v>
      </c>
      <c r="W2" s="26" t="s">
        <v>40</v>
      </c>
      <c r="X2" s="5">
        <v>53</v>
      </c>
      <c r="Y2" s="5">
        <v>38</v>
      </c>
      <c r="Z2" s="5">
        <v>28</v>
      </c>
      <c r="AA2" s="32" t="s">
        <v>41</v>
      </c>
      <c r="AB2" s="32" t="s">
        <v>42</v>
      </c>
      <c r="AC2" s="33"/>
      <c r="AD2"/>
    </row>
    <row r="3" ht="20.25" spans="1:29">
      <c r="A3" s="13" t="s">
        <v>43</v>
      </c>
      <c r="B3" s="14" t="s">
        <v>32</v>
      </c>
      <c r="C3" s="15" t="s">
        <v>33</v>
      </c>
      <c r="D3" s="16"/>
      <c r="E3" s="17">
        <v>6307909000</v>
      </c>
      <c r="F3" s="18" t="s">
        <v>34</v>
      </c>
      <c r="G3" s="18" t="s">
        <v>35</v>
      </c>
      <c r="H3" s="15" t="s">
        <v>36</v>
      </c>
      <c r="I3" s="15" t="s">
        <v>36</v>
      </c>
      <c r="J3" s="15" t="s">
        <v>36</v>
      </c>
      <c r="K3" s="18" t="s">
        <v>37</v>
      </c>
      <c r="L3" s="16" t="s">
        <v>38</v>
      </c>
      <c r="M3" s="21">
        <v>15</v>
      </c>
      <c r="N3" s="5">
        <f>O3-1</f>
        <v>11.7</v>
      </c>
      <c r="O3" s="22">
        <v>12.7</v>
      </c>
      <c r="P3" s="5">
        <f>Q3/M3</f>
        <v>4</v>
      </c>
      <c r="Q3" s="24">
        <v>60</v>
      </c>
      <c r="R3" s="5">
        <v>3</v>
      </c>
      <c r="S3" s="5">
        <f>R3*Q3</f>
        <v>180</v>
      </c>
      <c r="T3" s="25" t="s">
        <v>39</v>
      </c>
      <c r="U3" s="5">
        <f>37.99*0.3*7.2</f>
        <v>82.0584</v>
      </c>
      <c r="V3" s="5">
        <f>U3*Q3</f>
        <v>4923.504</v>
      </c>
      <c r="W3" s="26" t="s">
        <v>40</v>
      </c>
      <c r="X3" s="27">
        <v>53</v>
      </c>
      <c r="Y3" s="27">
        <v>38</v>
      </c>
      <c r="Z3" s="27">
        <v>28</v>
      </c>
      <c r="AA3" s="32" t="s">
        <v>44</v>
      </c>
      <c r="AB3" s="32" t="s">
        <v>42</v>
      </c>
      <c r="AC3" s="33"/>
    </row>
  </sheetData>
  <autoFilter ref="A1:AM3">
    <extLst/>
  </autoFilter>
  <dataValidations count="4">
    <dataValidation allowBlank="1" showInputMessage="1" showErrorMessage="1" sqref="U1:W1 U2:U3 V2:V3 W2:W3 U4:W1048576"/>
    <dataValidation type="list" allowBlank="1" showInputMessage="1" showErrorMessage="1" sqref="L2 L3 L4:L1048576">
      <formula1>"普货,带磁,带电,商检,纺织品,带磁带电"</formula1>
    </dataValidation>
    <dataValidation type="list" allowBlank="1" showInputMessage="1" showErrorMessage="1" sqref="I4:I1048576">
      <formula1>"无品牌,境内自主品牌,境内收购品牌,境外品牌（贴牌生产）,境外品牌（其他）"</formula1>
    </dataValidation>
    <dataValidation type="list" allowBlank="1" showInputMessage="1" showErrorMessage="1" sqref="T2:T3">
      <formula1>"USD,GBP,EUR,CAD,AUD"</formula1>
    </dataValidation>
  </dataValidations>
  <printOptions horizontalCentered="1" verticalCentered="1"/>
  <pageMargins left="0.389583333333333" right="0" top="0" bottom="0" header="0.169444444444444" footer="0"/>
  <pageSetup paperSize="9" scale="4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853511154515"/>
    <pageSetUpPr fitToPage="1"/>
  </sheetPr>
  <dimension ref="A1:AE3"/>
  <sheetViews>
    <sheetView zoomScale="82" zoomScaleNormal="82" topLeftCell="E1" workbookViewId="0">
      <selection activeCell="I2" sqref="I2:I3"/>
    </sheetView>
  </sheetViews>
  <sheetFormatPr defaultColWidth="9" defaultRowHeight="16.5" outlineLevelRow="2"/>
  <cols>
    <col min="1" max="1" width="46.25" style="4" customWidth="1"/>
    <col min="2" max="2" width="15.75" style="5" customWidth="1"/>
    <col min="3" max="3" width="13" style="6" customWidth="1"/>
    <col min="4" max="4" width="11.875" style="5" customWidth="1"/>
    <col min="5" max="5" width="16.875" style="6" customWidth="1"/>
    <col min="6" max="7" width="12.75" style="5" customWidth="1"/>
    <col min="8" max="8" width="9" style="5"/>
    <col min="9" max="9" width="8.5" style="5" customWidth="1"/>
    <col min="10" max="10" width="9" style="5" customWidth="1"/>
    <col min="11" max="11" width="11.625" style="5" customWidth="1"/>
    <col min="12" max="12" width="8.75" style="5" customWidth="1"/>
    <col min="13" max="13" width="7.875" style="5" customWidth="1"/>
    <col min="14" max="14" width="6.125" style="5" customWidth="1"/>
    <col min="15" max="15" width="6.4" style="5" customWidth="1"/>
    <col min="16" max="16" width="14" style="5" customWidth="1"/>
    <col min="17" max="17" width="8.125" style="5" customWidth="1"/>
    <col min="18" max="18" width="11.125" style="5" customWidth="1"/>
    <col min="19" max="23" width="13" style="5" customWidth="1"/>
    <col min="24" max="26" width="5.75" style="5" customWidth="1"/>
    <col min="27" max="27" width="15.125" style="7" customWidth="1"/>
    <col min="28" max="29" width="14.5" style="7" customWidth="1"/>
    <col min="30" max="30" width="27.75" style="7" customWidth="1"/>
    <col min="31" max="31" width="32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9" t="s">
        <v>11</v>
      </c>
      <c r="M1" s="11" t="s">
        <v>12</v>
      </c>
      <c r="N1" s="11" t="s">
        <v>13</v>
      </c>
      <c r="O1" s="20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23" t="s">
        <v>20</v>
      </c>
      <c r="V1" s="23" t="s">
        <v>21</v>
      </c>
      <c r="W1" s="23" t="s">
        <v>22</v>
      </c>
      <c r="X1" s="11" t="s">
        <v>23</v>
      </c>
      <c r="Y1" s="11" t="s">
        <v>24</v>
      </c>
      <c r="Z1" s="11" t="s">
        <v>25</v>
      </c>
      <c r="AA1" s="28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ht="20.25" spans="1:29">
      <c r="A2" s="13" t="s">
        <v>45</v>
      </c>
      <c r="B2" s="14" t="s">
        <v>32</v>
      </c>
      <c r="C2" s="15" t="s">
        <v>33</v>
      </c>
      <c r="D2" s="16"/>
      <c r="E2" s="17">
        <v>6307909000</v>
      </c>
      <c r="F2" s="18" t="s">
        <v>34</v>
      </c>
      <c r="G2" s="18" t="s">
        <v>35</v>
      </c>
      <c r="H2" s="15" t="s">
        <v>36</v>
      </c>
      <c r="I2" s="15" t="s">
        <v>36</v>
      </c>
      <c r="J2" s="15" t="s">
        <v>36</v>
      </c>
      <c r="K2" s="18" t="s">
        <v>37</v>
      </c>
      <c r="L2" s="16" t="s">
        <v>38</v>
      </c>
      <c r="M2" s="21">
        <v>15</v>
      </c>
      <c r="N2" s="5">
        <f>O2-1</f>
        <v>14.1</v>
      </c>
      <c r="O2" s="22">
        <v>15.1</v>
      </c>
      <c r="P2" s="5">
        <f>Q2/M2</f>
        <v>6</v>
      </c>
      <c r="Q2" s="24">
        <v>90</v>
      </c>
      <c r="R2" s="5">
        <v>3</v>
      </c>
      <c r="S2" s="5">
        <f>R2*Q2</f>
        <v>270</v>
      </c>
      <c r="T2" s="25" t="s">
        <v>39</v>
      </c>
      <c r="U2" s="5">
        <f>37.99*0.3*7.2</f>
        <v>82.0584</v>
      </c>
      <c r="V2" s="5">
        <f>U2*Q2</f>
        <v>7385.256</v>
      </c>
      <c r="W2" s="26" t="s">
        <v>40</v>
      </c>
      <c r="X2" s="27">
        <v>53</v>
      </c>
      <c r="Y2" s="27">
        <v>38</v>
      </c>
      <c r="Z2" s="27">
        <v>37</v>
      </c>
      <c r="AA2" s="32" t="s">
        <v>46</v>
      </c>
      <c r="AB2" s="32" t="s">
        <v>47</v>
      </c>
      <c r="AC2" s="33"/>
    </row>
    <row r="3" ht="20.25" spans="1:29">
      <c r="A3" s="13" t="s">
        <v>48</v>
      </c>
      <c r="B3" s="14" t="s">
        <v>32</v>
      </c>
      <c r="C3" s="15" t="s">
        <v>33</v>
      </c>
      <c r="D3" s="16"/>
      <c r="E3" s="17">
        <v>6307909000</v>
      </c>
      <c r="F3" s="18" t="s">
        <v>34</v>
      </c>
      <c r="G3" s="18" t="s">
        <v>35</v>
      </c>
      <c r="H3" s="15" t="s">
        <v>36</v>
      </c>
      <c r="I3" s="15" t="s">
        <v>36</v>
      </c>
      <c r="J3" s="15" t="s">
        <v>36</v>
      </c>
      <c r="K3" s="18" t="s">
        <v>37</v>
      </c>
      <c r="L3" s="16" t="s">
        <v>38</v>
      </c>
      <c r="M3" s="21">
        <v>5</v>
      </c>
      <c r="N3" s="5">
        <f>O3-1</f>
        <v>11.7</v>
      </c>
      <c r="O3" s="22">
        <v>12.7</v>
      </c>
      <c r="P3" s="5">
        <f>Q3/M3</f>
        <v>4</v>
      </c>
      <c r="Q3" s="24">
        <v>20</v>
      </c>
      <c r="R3" s="5">
        <v>3</v>
      </c>
      <c r="S3" s="5">
        <f>R3*Q3</f>
        <v>60</v>
      </c>
      <c r="T3" s="25" t="s">
        <v>39</v>
      </c>
      <c r="U3" s="5">
        <f>37.99*0.3*7.2</f>
        <v>82.0584</v>
      </c>
      <c r="V3" s="5">
        <f>U3*Q3</f>
        <v>1641.168</v>
      </c>
      <c r="W3" s="26" t="s">
        <v>40</v>
      </c>
      <c r="X3" s="27">
        <v>53</v>
      </c>
      <c r="Y3" s="27">
        <v>38</v>
      </c>
      <c r="Z3" s="27">
        <v>28</v>
      </c>
      <c r="AA3" s="32" t="s">
        <v>49</v>
      </c>
      <c r="AB3" s="32" t="s">
        <v>47</v>
      </c>
      <c r="AC3" s="33"/>
    </row>
  </sheetData>
  <autoFilter ref="A1:AM3">
    <extLst/>
  </autoFilter>
  <dataValidations count="4">
    <dataValidation allowBlank="1" showInputMessage="1" showErrorMessage="1" sqref="U1:W1 U2:U3 V2:V3 W2:W3 U4:W1048576"/>
    <dataValidation type="list" allowBlank="1" showInputMessage="1" showErrorMessage="1" sqref="L2 L3 L4:L1048576">
      <formula1>"普货,带磁,带电,商检,纺织品,带磁带电"</formula1>
    </dataValidation>
    <dataValidation type="list" allowBlank="1" showInputMessage="1" showErrorMessage="1" sqref="I4:I1048576">
      <formula1>"无品牌,境内自主品牌,境内收购品牌,境外品牌（贴牌生产）,境外品牌（其他）"</formula1>
    </dataValidation>
    <dataValidation type="list" allowBlank="1" showInputMessage="1" showErrorMessage="1" sqref="T2:T3">
      <formula1>"USD,GBP,EUR,CAD,AUD"</formula1>
    </dataValidation>
  </dataValidations>
  <printOptions horizontalCentered="1" verticalCentered="1"/>
  <pageMargins left="0.389583333333333" right="0" top="0" bottom="0" header="0.169444444444444" footer="0"/>
  <pageSetup paperSize="9" scale="41" orientation="landscape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853511154515"/>
    <pageSetUpPr fitToPage="1"/>
  </sheetPr>
  <dimension ref="A1:AE3"/>
  <sheetViews>
    <sheetView zoomScale="82" zoomScaleNormal="82" workbookViewId="0">
      <selection activeCell="I2" sqref="I2:I3"/>
    </sheetView>
  </sheetViews>
  <sheetFormatPr defaultColWidth="9" defaultRowHeight="16.5" outlineLevelRow="2"/>
  <cols>
    <col min="1" max="1" width="46.25" style="4" customWidth="1"/>
    <col min="2" max="2" width="15.75" style="5" customWidth="1"/>
    <col min="3" max="3" width="13" style="6" customWidth="1"/>
    <col min="4" max="4" width="11.875" style="5" customWidth="1"/>
    <col min="5" max="5" width="16.875" style="6" customWidth="1"/>
    <col min="6" max="7" width="12.75" style="5" customWidth="1"/>
    <col min="8" max="8" width="9" style="5"/>
    <col min="9" max="9" width="8.5" style="5" customWidth="1"/>
    <col min="10" max="10" width="9" style="5" customWidth="1"/>
    <col min="11" max="11" width="11.625" style="5" customWidth="1"/>
    <col min="12" max="12" width="8.75" style="5" customWidth="1"/>
    <col min="13" max="13" width="7.875" style="5" customWidth="1"/>
    <col min="14" max="14" width="6.125" style="5" customWidth="1"/>
    <col min="15" max="15" width="6.4" style="5" customWidth="1"/>
    <col min="16" max="16" width="14" style="5" customWidth="1"/>
    <col min="17" max="17" width="8.125" style="5" customWidth="1"/>
    <col min="18" max="18" width="11.125" style="5" customWidth="1"/>
    <col min="19" max="23" width="13" style="5" customWidth="1"/>
    <col min="24" max="26" width="5.75" style="5" customWidth="1"/>
    <col min="27" max="27" width="15.125" style="7" customWidth="1"/>
    <col min="28" max="29" width="14.5" style="7" customWidth="1"/>
    <col min="30" max="30" width="27.75" style="7" customWidth="1"/>
    <col min="31" max="31" width="32" style="8" customWidth="1"/>
    <col min="32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9" t="s">
        <v>11</v>
      </c>
      <c r="M1" s="11" t="s">
        <v>12</v>
      </c>
      <c r="N1" s="11" t="s">
        <v>13</v>
      </c>
      <c r="O1" s="20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23" t="s">
        <v>20</v>
      </c>
      <c r="V1" s="23" t="s">
        <v>21</v>
      </c>
      <c r="W1" s="23" t="s">
        <v>22</v>
      </c>
      <c r="X1" s="11" t="s">
        <v>23</v>
      </c>
      <c r="Y1" s="11" t="s">
        <v>24</v>
      </c>
      <c r="Z1" s="11" t="s">
        <v>25</v>
      </c>
      <c r="AA1" s="28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</row>
    <row r="2" ht="20.25" spans="1:29">
      <c r="A2" s="13" t="s">
        <v>50</v>
      </c>
      <c r="B2" s="14" t="s">
        <v>32</v>
      </c>
      <c r="C2" s="15" t="s">
        <v>33</v>
      </c>
      <c r="D2" s="16"/>
      <c r="E2" s="17">
        <v>6307909000</v>
      </c>
      <c r="F2" s="18" t="s">
        <v>34</v>
      </c>
      <c r="G2" s="18" t="s">
        <v>35</v>
      </c>
      <c r="H2" s="15" t="s">
        <v>36</v>
      </c>
      <c r="I2" s="15" t="s">
        <v>36</v>
      </c>
      <c r="J2" s="15" t="s">
        <v>36</v>
      </c>
      <c r="K2" s="18" t="s">
        <v>37</v>
      </c>
      <c r="L2" s="16" t="s">
        <v>38</v>
      </c>
      <c r="M2" s="21">
        <v>15</v>
      </c>
      <c r="N2" s="5">
        <f>O2-1</f>
        <v>14.1</v>
      </c>
      <c r="O2" s="22">
        <v>15.1</v>
      </c>
      <c r="P2" s="5">
        <f>Q2/M2</f>
        <v>6</v>
      </c>
      <c r="Q2" s="24">
        <v>90</v>
      </c>
      <c r="R2" s="5">
        <v>3</v>
      </c>
      <c r="S2" s="5">
        <f>R2*Q2</f>
        <v>270</v>
      </c>
      <c r="T2" s="25" t="s">
        <v>39</v>
      </c>
      <c r="U2" s="5">
        <f>37.99*0.3*7.2</f>
        <v>82.0584</v>
      </c>
      <c r="V2" s="5">
        <f>U2*Q2</f>
        <v>7385.256</v>
      </c>
      <c r="W2" s="26" t="s">
        <v>40</v>
      </c>
      <c r="X2" s="27">
        <v>53</v>
      </c>
      <c r="Y2" s="27">
        <v>38</v>
      </c>
      <c r="Z2" s="27">
        <v>37</v>
      </c>
      <c r="AA2" s="32" t="s">
        <v>51</v>
      </c>
      <c r="AB2" s="32" t="s">
        <v>52</v>
      </c>
      <c r="AC2" s="33"/>
    </row>
    <row r="3" ht="20.25" spans="1:29">
      <c r="A3" s="13" t="s">
        <v>53</v>
      </c>
      <c r="B3" s="14" t="s">
        <v>32</v>
      </c>
      <c r="C3" s="15" t="s">
        <v>33</v>
      </c>
      <c r="D3" s="16"/>
      <c r="E3" s="17">
        <v>6307909000</v>
      </c>
      <c r="F3" s="18" t="s">
        <v>34</v>
      </c>
      <c r="G3" s="18" t="s">
        <v>35</v>
      </c>
      <c r="H3" s="15" t="s">
        <v>36</v>
      </c>
      <c r="I3" s="15" t="s">
        <v>36</v>
      </c>
      <c r="J3" s="15" t="s">
        <v>36</v>
      </c>
      <c r="K3" s="18" t="s">
        <v>37</v>
      </c>
      <c r="L3" s="16" t="s">
        <v>38</v>
      </c>
      <c r="M3" s="21">
        <v>5</v>
      </c>
      <c r="N3" s="5">
        <f>O3-1</f>
        <v>11.7</v>
      </c>
      <c r="O3" s="22">
        <v>12.7</v>
      </c>
      <c r="P3" s="5">
        <f>Q3/M3</f>
        <v>4</v>
      </c>
      <c r="Q3" s="24">
        <v>20</v>
      </c>
      <c r="R3" s="5">
        <v>3</v>
      </c>
      <c r="S3" s="5">
        <f>R3*Q3</f>
        <v>60</v>
      </c>
      <c r="T3" s="25" t="s">
        <v>39</v>
      </c>
      <c r="U3" s="5">
        <f>37.99*0.3*7.2</f>
        <v>82.0584</v>
      </c>
      <c r="V3" s="5">
        <f>U3*Q3</f>
        <v>1641.168</v>
      </c>
      <c r="W3" s="26" t="s">
        <v>40</v>
      </c>
      <c r="X3" s="27">
        <v>53</v>
      </c>
      <c r="Y3" s="27">
        <v>38</v>
      </c>
      <c r="Z3" s="27">
        <v>28</v>
      </c>
      <c r="AA3" s="32" t="s">
        <v>54</v>
      </c>
      <c r="AB3" s="32" t="s">
        <v>52</v>
      </c>
      <c r="AC3" s="33"/>
    </row>
  </sheetData>
  <autoFilter ref="A1:AM3">
    <extLst/>
  </autoFilter>
  <dataValidations count="4">
    <dataValidation allowBlank="1" showInputMessage="1" showErrorMessage="1" sqref="U1:W1 U2:U3 V2:V3 W2:W3 U4:W1048576"/>
    <dataValidation type="list" allowBlank="1" showInputMessage="1" showErrorMessage="1" sqref="L2 L3 L4:L1048576">
      <formula1>"普货,带磁,带电,商检,纺织品,带磁带电"</formula1>
    </dataValidation>
    <dataValidation type="list" allowBlank="1" showInputMessage="1" showErrorMessage="1" sqref="I4:I1048576">
      <formula1>"无品牌,境内自主品牌,境内收购品牌,境外品牌（贴牌生产）,境外品牌（其他）"</formula1>
    </dataValidation>
    <dataValidation type="list" allowBlank="1" showInputMessage="1" showErrorMessage="1" sqref="T2:T3">
      <formula1>"USD,GBP,EUR,CAD,AUD"</formula1>
    </dataValidation>
  </dataValidations>
  <printOptions horizontalCentered="1" verticalCentered="1"/>
  <pageMargins left="0.389583333333333" right="0" top="0" bottom="0" header="0.169444444444444" footer="0"/>
  <pageSetup paperSize="9" scale="41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25" defaultRowHeight="17.25"/>
  <cols>
    <col min="1" max="16384" width="8.625" style="1"/>
  </cols>
  <sheetData>
    <row r="1" ht="14.25" spans="1:18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4.25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4.25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t="14.2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ht="14.25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ht="14.25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4.25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ht="14.25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ht="14.25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4.25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4.25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ht="14.25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ht="14.25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QXY8-20件</vt:lpstr>
      <vt:lpstr>GEU2-20件</vt:lpstr>
      <vt:lpstr>POC1-20件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Vickie（贺文静）</cp:lastModifiedBy>
  <cp:revision>1</cp:revision>
  <dcterms:created xsi:type="dcterms:W3CDTF">2012-11-20T18:49:00Z</dcterms:created>
  <cp:lastPrinted>2018-03-27T22:13:00Z</cp:lastPrinted>
  <dcterms:modified xsi:type="dcterms:W3CDTF">2025-11-27T08:11:00Z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true</vt:bool>
  </property>
  <property fmtid="{D5CDD505-2E9C-101B-9397-08002B2CF9AE}" pid="4" name="ICV">
    <vt:lpwstr>41ADCB44FC284A86932A0C3BFB3F0501_13</vt:lpwstr>
  </property>
</Properties>
</file>