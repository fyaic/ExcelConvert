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596"/>
  </bookViews>
  <sheets>
    <sheet name="HAJ1-20箱" sheetId="85" r:id="rId1"/>
    <sheet name="DTM1-20箱" sheetId="87" r:id="rId2"/>
    <sheet name="表格要求说明" sheetId="74" r:id="rId3"/>
    <sheet name="Sheet1" sheetId="77" r:id="rId4"/>
  </sheets>
  <definedNames>
    <definedName name="_xlnm.Print_Area" localSheetId="0">'HAJ1-20箱'!$C$1:$AF$1</definedName>
    <definedName name="_xlnm.Print_Area" localSheetId="1">'DTM1-20箱'!$C$1:$AF$1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S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V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F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comments2.xml><?xml version="1.0" encoding="utf-8"?>
<comments xmlns="http://schemas.openxmlformats.org/spreadsheetml/2006/main">
  <authors>
    <author>Dora</author>
    <author>admin</author>
  </authors>
  <commentList>
    <comment ref="S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V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F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<sst xmlns="http://schemas.openxmlformats.org/spreadsheetml/2006/main" count="216" uniqueCount="130">
  <si>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</si>
  <si>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</si>
  <si>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</si>
  <si>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</si>
  <si>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</si>
  <si>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</si>
  <si>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</si>
  <si>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</si>
  <si>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</si>
  <si>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</si>
  <si>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</si>
  <si>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</si>
  <si>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</si>
  <si>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</si>
  <si>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</si>
  <si>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</si>
  <si>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</si>
  <si>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</si>
  <si>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</si>
  <si>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</si>
  <si>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</si>
  <si>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</si>
  <si>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</si>
  <si>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</si>
  <si>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</si>
  <si>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</si>
  <si>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</si>
  <si>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</si>
  <si>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</si>
  <si>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</si>
  <si>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</si>
  <si>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FBA15L0KSR5Y</t>
  </si>
  <si>
    <t>FBA15L0KSR5YU000001-FBA15L0KSR5YU000020</t>
  </si>
  <si>
    <t>车垫</t>
  </si>
  <si>
    <t>Car Seat Cover</t>
  </si>
  <si>
    <t>涤纶</t>
  </si>
  <si>
    <t>polyester</t>
  </si>
  <si>
    <t>JOEJOY</t>
  </si>
  <si>
    <t>境外品牌（其他）</t>
  </si>
  <si>
    <t>无</t>
  </si>
  <si>
    <t>宠物用</t>
  </si>
  <si>
    <t>普货</t>
  </si>
  <si>
    <t>EUR</t>
  </si>
  <si>
    <t>CNY</t>
  </si>
  <si>
    <t>6L6Z9TNV</t>
  </si>
  <si>
    <t>HAJ1</t>
  </si>
  <si>
    <t>https://www.amazon.de/dp/B0D69N5QBL</t>
  </si>
  <si>
    <t>DE343176232</t>
  </si>
  <si>
    <t>ESN0080542D</t>
  </si>
  <si>
    <t>ShenZhenShi BaiYiJia KeJi YouXianGongSi</t>
  </si>
  <si>
    <t>FBA15L0R06LP</t>
  </si>
  <si>
    <t>FBA15L0R06LPU000001-FBA15L0R06LPU000020</t>
  </si>
  <si>
    <t>宠物篮子</t>
  </si>
  <si>
    <t>3SY5PZHY</t>
  </si>
  <si>
    <t>DTM1</t>
  </si>
  <si>
    <t>https://www.amazon.de/dp/B0FWCD22YW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</si>
  <si>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</si>
  <si>
    <t>店铺</t>
  </si>
  <si>
    <t>站点</t>
  </si>
  <si>
    <t>产品名</t>
  </si>
  <si>
    <t>销售价格</t>
  </si>
  <si>
    <t>品牌名</t>
  </si>
  <si>
    <t>箱子尺寸CM</t>
  </si>
  <si>
    <t>单箱重量KG</t>
  </si>
  <si>
    <t>装箱数量/箱</t>
  </si>
  <si>
    <t>箱数</t>
  </si>
  <si>
    <t>总数量</t>
  </si>
  <si>
    <t>FBA编号</t>
  </si>
  <si>
    <t>ReferenceID</t>
  </si>
  <si>
    <t>仓库地址</t>
  </si>
  <si>
    <t>渠道（物流填写）</t>
  </si>
  <si>
    <t>佰亿伽</t>
  </si>
  <si>
    <t>UK</t>
  </si>
  <si>
    <t>欧洲春亚纺里布后座半翼款车垫-黑色54*47inch</t>
  </si>
  <si>
    <t>46*35*34</t>
  </si>
  <si>
    <t>FBA15KY2KKKK</t>
  </si>
  <si>
    <t>7HC89I6P</t>
  </si>
  <si>
    <t>GB（BRS2）</t>
  </si>
  <si>
    <t>嘀嗒嘀普船3.5</t>
  </si>
  <si>
    <t>FBA15KY2KKKKU000001-FBA15KY2KKKKU000017</t>
  </si>
  <si>
    <t>https://www.amazon.co.uk/dp/B0BZY7XB93</t>
  </si>
  <si>
    <t>黑色后座车载垫</t>
  </si>
  <si>
    <t>56*35*48</t>
  </si>
  <si>
    <t>FBA15KY2N7CN</t>
  </si>
  <si>
    <t>5FPUPOUC</t>
  </si>
  <si>
    <t>FBA15KY2N7CNU000001-FBA15KY2N7CNU000060</t>
  </si>
  <si>
    <t>https://www.amazon.co.uk/dp/B0D69PNZQQ</t>
  </si>
  <si>
    <t>足球格中空板车垫-黑色</t>
  </si>
  <si>
    <t>67*45*46</t>
  </si>
  <si>
    <t>FBA15KY2JJGQ</t>
  </si>
  <si>
    <t>6QDUW2QA</t>
  </si>
  <si>
    <t>GB（EMA3）</t>
  </si>
  <si>
    <t>FBA15KY2JJGQU000001-FBA15KY2JJGQU000041</t>
  </si>
  <si>
    <t>https://www.amazon.co.uk/dp/B0CNRC4YJB</t>
  </si>
  <si>
    <t>DE</t>
  </si>
  <si>
    <t>FBA15KXGDC95</t>
  </si>
  <si>
    <t>58VWPB9W</t>
  </si>
  <si>
    <t>DE(HAJ1)</t>
  </si>
  <si>
    <t>嘀嗒嘀普船4.5</t>
  </si>
  <si>
    <t>FBA15KXGDC95U000001-FBA15KXGDC95U000020</t>
  </si>
  <si>
    <t>深灰色后座车载垫</t>
  </si>
  <si>
    <t>FBA15KXGVZZP</t>
  </si>
  <si>
    <t>7HRQGOMT</t>
  </si>
  <si>
    <t>FBA15KXGVZZPU000001-FBA15KXGVZZPU000015</t>
  </si>
  <si>
    <t>https://www.amazon.de/dp/B0D69LV2CC</t>
  </si>
  <si>
    <t>FBA15KXGSXWL</t>
  </si>
  <si>
    <t>1DOC1JJN</t>
  </si>
  <si>
    <t>FBA15KXGSXWLU000001-FBA15KXGSXWLU000016</t>
  </si>
  <si>
    <t>https://www.amazon.de/dp/B0DYV1GRWN</t>
  </si>
  <si>
    <t>欧洲春亚纺里布后座半翼款车垫-灰色54*47inch</t>
  </si>
  <si>
    <t>FBA15KXGT6NV</t>
  </si>
  <si>
    <t>1WHHMMCQ</t>
  </si>
  <si>
    <t>FBA15KXGT6NVU000001-FBA15KXGT6NVU000006</t>
  </si>
  <si>
    <t>https://www.amazon.de/dp/B08JTPLJPQ</t>
  </si>
  <si>
    <t>亿玛客</t>
  </si>
  <si>
    <t>大号牛津布中空板狗篮</t>
  </si>
  <si>
    <t>MIXJOY</t>
  </si>
  <si>
    <t>74*59*32</t>
  </si>
  <si>
    <t>FBA15KXGVBF8</t>
  </si>
  <si>
    <t>7MTIAB3T</t>
  </si>
  <si>
    <t>DE(LEJ3)</t>
  </si>
  <si>
    <t>嘀嗒嘀普船5</t>
  </si>
  <si>
    <t>FBA15KXGVBF8U000001-FBA15KXGVBF8U000040</t>
  </si>
  <si>
    <t>https://www.amazon.de/dp/B0F3JC4P2J</t>
  </si>
  <si>
    <t>足球格中空板车垫-灰色</t>
  </si>
  <si>
    <t>FBA15KXHQMWX</t>
  </si>
  <si>
    <t>137VWEGM</t>
  </si>
  <si>
    <t>DE (XPO1)</t>
  </si>
  <si>
    <t>FBA15KXHQMWXU000001-FBA15KXHQMWXU000036</t>
  </si>
  <si>
    <t>https://www.amazon.de/dp/B0D1TXNKDM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</si>
</sst>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4">
    <font>
      <sz val="12"/>
      <name val="宋体"/>
      <charset val="134"/>
    </font>
    <font>
      <sz val="10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宋体"/>
      <charset val="134"/>
    </font>
    <font>
      <b/>
      <sz val="10"/>
      <color rgb="FFFF0000"/>
      <name val="等线"/>
      <charset val="134"/>
    </font>
    <font>
      <u/>
      <sz val="11"/>
      <color rgb="FF0000FF"/>
      <name val="宋体"/>
      <charset val="134"/>
      <scheme val="minor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1"/>
      <color rgb="FFFF0000"/>
      <name val="微软雅黑"/>
      <charset val="134"/>
    </font>
    <font>
      <sz val="12"/>
      <name val="等线"/>
      <charset val="1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sz val="9"/>
      <name val="Tahoma"/>
      <charset val="222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6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1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9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36" borderId="0">
      <alignment vertical="center"/>
    </xf>
    <xf numFmtId="0" fontId="34" fillId="0" borderId="0"/>
    <xf numFmtId="0" fontId="36" fillId="0" borderId="0"/>
    <xf numFmtId="0" fontId="0" fillId="0" borderId="0"/>
    <xf numFmtId="0" fontId="0" fillId="0" borderId="0">
      <alignment vertical="center"/>
    </xf>
    <xf numFmtId="0" fontId="37" fillId="37" borderId="0">
      <alignment vertical="center"/>
    </xf>
    <xf numFmtId="0" fontId="34" fillId="0" borderId="0">
      <alignment vertical="center"/>
    </xf>
    <xf numFmtId="0" fontId="34" fillId="0" borderId="0"/>
    <xf numFmtId="0" fontId="3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/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0" borderId="4" xfId="0" applyNumberFormat="1" applyFont="1" applyBorder="1" applyAlignment="1">
      <alignment horizontal="center" vertical="center"/>
    </xf>
    <xf numFmtId="0" fontId="6" fillId="0" borderId="0" xfId="6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left" vertical="center"/>
    </xf>
    <xf numFmtId="176" fontId="9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 wrapText="1"/>
    </xf>
    <xf numFmtId="0" fontId="11" fillId="4" borderId="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5" fillId="0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176" fontId="11" fillId="4" borderId="5" xfId="0" applyNumberFormat="1" applyFont="1" applyFill="1" applyBorder="1" applyAlignment="1">
      <alignment horizontal="left" vertical="center" wrapText="1"/>
    </xf>
    <xf numFmtId="176" fontId="11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/>
    </xf>
    <xf numFmtId="176" fontId="6" fillId="0" borderId="5" xfId="6" applyNumberForma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FFFFFF"/>
      <color rgb="00D8E4BC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0</xdr:colOff>
      <xdr:row>3</xdr:row>
      <xdr:rowOff>81280</xdr:rowOff>
    </xdr:from>
    <xdr:to>
      <xdr:col>30</xdr:col>
      <xdr:colOff>1914525</xdr:colOff>
      <xdr:row>11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98090" y="1176655"/>
          <a:ext cx="1914525" cy="1633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1069975</xdr:colOff>
      <xdr:row>1</xdr:row>
      <xdr:rowOff>92710</xdr:rowOff>
    </xdr:from>
    <xdr:to>
      <xdr:col>31</xdr:col>
      <xdr:colOff>200025</xdr:colOff>
      <xdr:row>11</xdr:row>
      <xdr:rowOff>45085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339415" y="778510"/>
          <a:ext cx="2352675" cy="2038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de/dp/B0D69N5QBL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de/dp/B0FWCD22YW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de/dp/B0D69N5QBL" TargetMode="External"/><Relationship Id="rId8" Type="http://schemas.openxmlformats.org/officeDocument/2006/relationships/hyperlink" Target="https://www.amazon.de/dp/B0D1TXNKDM" TargetMode="External"/><Relationship Id="rId7" Type="http://schemas.openxmlformats.org/officeDocument/2006/relationships/hyperlink" Target="https://www.amazon.de/dp/B0F3JC4P2J" TargetMode="External"/><Relationship Id="rId6" Type="http://schemas.openxmlformats.org/officeDocument/2006/relationships/hyperlink" Target="https://www.amazon.de/dp/B08JTPLJPQ" TargetMode="External"/><Relationship Id="rId5" Type="http://schemas.openxmlformats.org/officeDocument/2006/relationships/hyperlink" Target="https://www.amazon.de/dp/B0DYV1GRWN" TargetMode="External"/><Relationship Id="rId4" Type="http://schemas.openxmlformats.org/officeDocument/2006/relationships/hyperlink" Target="https://www.amazon.de/dp/B0D69LV2CC" TargetMode="External"/><Relationship Id="rId3" Type="http://schemas.openxmlformats.org/officeDocument/2006/relationships/hyperlink" Target="https://www.amazon.co.uk/dp/B0CNRC4YJB" TargetMode="External"/><Relationship Id="rId2" Type="http://schemas.openxmlformats.org/officeDocument/2006/relationships/hyperlink" Target="https://www.amazon.co.uk/dp/B0D69PNZQQ" TargetMode="External"/><Relationship Id="rId1" Type="http://schemas.openxmlformats.org/officeDocument/2006/relationships/hyperlink" Target="https://www.amazon.co.uk/dp/B0BZY7XB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6"/>
  <sheetViews>
    <sheetView tabSelected="1" zoomScale="82" zoomScaleNormal="82" workbookViewId="0">
      <selection activeCell="F28" sqref="F28"/>
    </sheetView>
  </sheetViews>
  <sheetFormatPr defaultColWidth="9" defaultRowHeight="16.5" outlineLevelRow="5"/>
  <cols>
    <col min="1" max="1" width="9" style="18"/>
    <col min="2" max="2" width="39" style="19" customWidth="1"/>
    <col min="3" max="3" width="15.7333333333333" style="20" customWidth="1"/>
    <col min="4" max="4" width="13" style="21" customWidth="1"/>
    <col min="5" max="5" width="11.875" style="20" customWidth="1"/>
    <col min="6" max="6" width="16.875" style="21" customWidth="1"/>
    <col min="7" max="7" width="12.7" style="20" customWidth="1"/>
    <col min="8" max="8" width="12.7916666666667" style="20" customWidth="1"/>
    <col min="9" max="10" width="8.5" style="20" customWidth="1"/>
    <col min="11" max="11" width="9" style="20" customWidth="1"/>
    <col min="12" max="12" width="11.6" style="20" customWidth="1"/>
    <col min="13" max="13" width="8.7" style="20" customWidth="1"/>
    <col min="14" max="14" width="7.9" style="20" customWidth="1"/>
    <col min="15" max="15" width="6.1" style="20" customWidth="1"/>
    <col min="16" max="16" width="8.83333333333333" style="20" customWidth="1"/>
    <col min="17" max="17" width="14" style="20" customWidth="1"/>
    <col min="18" max="18" width="8.1" style="20" customWidth="1"/>
    <col min="19" max="19" width="11.1" style="20" customWidth="1"/>
    <col min="20" max="24" width="13" style="20" customWidth="1"/>
    <col min="25" max="25" width="12.125" style="20" customWidth="1"/>
    <col min="26" max="27" width="5.79166666666667" style="20" customWidth="1"/>
    <col min="28" max="28" width="15.1" style="22" customWidth="1"/>
    <col min="29" max="29" width="14.5" style="22" customWidth="1"/>
    <col min="30" max="30" width="14.5" style="23" customWidth="1"/>
    <col min="31" max="31" width="27.7916666666667" style="23" customWidth="1"/>
    <col min="32" max="32" width="42.625" style="24" customWidth="1"/>
    <col min="33" max="40" width="9" style="25"/>
    <col min="41" max="16384" width="9" style="18"/>
  </cols>
  <sheetData>
    <row r="1" s="17" customFormat="1" ht="54" customHeight="1" spans="2:32">
      <c r="B1" s="26" t="s">
        <v>0</v>
      </c>
      <c r="C1" s="27" t="s">
        <v>1</v>
      </c>
      <c r="D1" s="28" t="s">
        <v>2</v>
      </c>
      <c r="E1" s="27" t="s">
        <v>3</v>
      </c>
      <c r="F1" s="28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32" t="s">
        <v>11</v>
      </c>
      <c r="N1" s="27" t="s">
        <v>12</v>
      </c>
      <c r="O1" s="27" t="s">
        <v>13</v>
      </c>
      <c r="P1" s="33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36" t="s">
        <v>20</v>
      </c>
      <c r="W1" s="36" t="s">
        <v>21</v>
      </c>
      <c r="X1" s="36" t="s">
        <v>22</v>
      </c>
      <c r="Y1" s="27" t="s">
        <v>23</v>
      </c>
      <c r="Z1" s="27" t="s">
        <v>24</v>
      </c>
      <c r="AA1" s="27" t="s">
        <v>25</v>
      </c>
      <c r="AB1" s="38" t="s">
        <v>26</v>
      </c>
      <c r="AC1" s="38" t="s">
        <v>27</v>
      </c>
      <c r="AD1" s="39" t="s">
        <v>28</v>
      </c>
      <c r="AE1" s="40" t="s">
        <v>29</v>
      </c>
      <c r="AF1" s="41" t="s">
        <v>30</v>
      </c>
    </row>
    <row r="2" ht="15.75" spans="1:32">
      <c r="A2" s="18" t="s">
        <v>31</v>
      </c>
      <c r="B2" s="9" t="s">
        <v>32</v>
      </c>
      <c r="C2" s="29" t="s">
        <v>33</v>
      </c>
      <c r="D2" s="29" t="s">
        <v>34</v>
      </c>
      <c r="E2" s="30"/>
      <c r="F2" s="29">
        <v>5701909090</v>
      </c>
      <c r="G2" s="29" t="s">
        <v>35</v>
      </c>
      <c r="H2" s="29" t="s">
        <v>36</v>
      </c>
      <c r="I2" s="9" t="s">
        <v>37</v>
      </c>
      <c r="J2" s="35" t="s">
        <v>38</v>
      </c>
      <c r="K2" s="35" t="s">
        <v>39</v>
      </c>
      <c r="L2" s="35" t="s">
        <v>40</v>
      </c>
      <c r="M2" s="35" t="s">
        <v>41</v>
      </c>
      <c r="N2" s="8">
        <v>20</v>
      </c>
      <c r="O2" s="30">
        <f>P2-1</f>
        <v>12.4</v>
      </c>
      <c r="P2" s="8">
        <v>13.4</v>
      </c>
      <c r="Q2" s="8">
        <v>10</v>
      </c>
      <c r="R2" s="8">
        <v>200</v>
      </c>
      <c r="S2" s="37">
        <v>9.897</v>
      </c>
      <c r="T2" s="30">
        <f>R2*S2</f>
        <v>1979.4</v>
      </c>
      <c r="U2" s="30" t="s">
        <v>42</v>
      </c>
      <c r="V2" s="30">
        <v>71.2584</v>
      </c>
      <c r="W2" s="30">
        <f>V2*R2</f>
        <v>14251.68</v>
      </c>
      <c r="X2" s="30" t="s">
        <v>43</v>
      </c>
      <c r="Y2" s="30">
        <v>56</v>
      </c>
      <c r="Z2" s="30">
        <v>34.5</v>
      </c>
      <c r="AA2" s="30">
        <v>48</v>
      </c>
      <c r="AB2" s="30" t="s">
        <v>44</v>
      </c>
      <c r="AC2" s="30" t="s">
        <v>45</v>
      </c>
      <c r="AD2" s="42"/>
      <c r="AE2" s="42"/>
      <c r="AF2" s="43" t="s">
        <v>46</v>
      </c>
    </row>
    <row r="6" spans="2:5">
      <c r="B6" s="29" t="s">
        <v>37</v>
      </c>
      <c r="C6" s="31" t="s">
        <v>47</v>
      </c>
      <c r="D6" s="29" t="s">
        <v>48</v>
      </c>
      <c r="E6" s="29" t="s">
        <v>49</v>
      </c>
    </row>
  </sheetData>
  <dataValidations count="3">
    <dataValidation allowBlank="1" showInputMessage="1" showErrorMessage="1" sqref="V1:X1 V2:X2 V3:X1048576"/>
    <dataValidation type="list" allowBlank="1" showInputMessage="1" showErrorMessage="1" sqref="J2 J3:J1048576">
      <formula1>"无品牌,境内自主品牌,境内收购品牌,境外品牌（贴牌生产）,境外品牌（其他）"</formula1>
    </dataValidation>
    <dataValidation type="list" allowBlank="1" showInputMessage="1" showErrorMessage="1" sqref="M2 M3:M1048576">
      <formula1>"普货,带磁,带电,商检,纺织品,带磁带电"</formula1>
    </dataValidation>
  </dataValidations>
  <hyperlinks>
    <hyperlink ref="AF2" r:id="rId4" display="https://www.amazon.de/dp/B0D69N5QBL"/>
  </hyperlinks>
  <printOptions horizontalCentered="1" verticalCentered="1"/>
  <pageMargins left="0.389583333333333" right="0" top="0" bottom="0" header="0.169444444444444" footer="0"/>
  <pageSetup paperSize="9" scale="36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11"/>
  <sheetViews>
    <sheetView zoomScale="82" zoomScaleNormal="82" workbookViewId="0">
      <selection activeCell="H22" sqref="H22"/>
    </sheetView>
  </sheetViews>
  <sheetFormatPr defaultColWidth="9" defaultRowHeight="16.5"/>
  <cols>
    <col min="1" max="1" width="15.25" style="18" customWidth="1"/>
    <col min="2" max="2" width="39" style="19" customWidth="1"/>
    <col min="3" max="3" width="15.7333333333333" style="20" customWidth="1"/>
    <col min="4" max="4" width="13" style="21" customWidth="1"/>
    <col min="5" max="5" width="11.875" style="20" customWidth="1"/>
    <col min="6" max="6" width="16.875" style="21" customWidth="1"/>
    <col min="7" max="7" width="12.7" style="20" customWidth="1"/>
    <col min="8" max="8" width="12.7916666666667" style="20" customWidth="1"/>
    <col min="9" max="10" width="8.5" style="20" customWidth="1"/>
    <col min="11" max="11" width="9" style="20" customWidth="1"/>
    <col min="12" max="12" width="11.6" style="20" customWidth="1"/>
    <col min="13" max="13" width="8.7" style="20" customWidth="1"/>
    <col min="14" max="14" width="7.9" style="20" customWidth="1"/>
    <col min="15" max="15" width="6.1" style="20" customWidth="1"/>
    <col min="16" max="16" width="8.83333333333333" style="20" customWidth="1"/>
    <col min="17" max="17" width="14" style="20" customWidth="1"/>
    <col min="18" max="18" width="8.1" style="20" customWidth="1"/>
    <col min="19" max="19" width="11.1" style="20" customWidth="1"/>
    <col min="20" max="24" width="13" style="20" customWidth="1"/>
    <col min="25" max="25" width="12.125" style="20" customWidth="1"/>
    <col min="26" max="27" width="5.79166666666667" style="20" customWidth="1"/>
    <col min="28" max="28" width="15.1" style="22" customWidth="1"/>
    <col min="29" max="29" width="14.5" style="22" customWidth="1"/>
    <col min="30" max="30" width="14.5" style="23" customWidth="1"/>
    <col min="31" max="31" width="27.7916666666667" style="23" customWidth="1"/>
    <col min="32" max="32" width="42.625" style="24" customWidth="1"/>
    <col min="33" max="40" width="9" style="25"/>
    <col min="41" max="16384" width="9" style="18"/>
  </cols>
  <sheetData>
    <row r="1" s="17" customFormat="1" ht="54" customHeight="1" spans="2:32">
      <c r="B1" s="26" t="s">
        <v>0</v>
      </c>
      <c r="C1" s="27" t="s">
        <v>1</v>
      </c>
      <c r="D1" s="28" t="s">
        <v>2</v>
      </c>
      <c r="E1" s="27" t="s">
        <v>3</v>
      </c>
      <c r="F1" s="28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32" t="s">
        <v>11</v>
      </c>
      <c r="N1" s="27" t="s">
        <v>12</v>
      </c>
      <c r="O1" s="27" t="s">
        <v>13</v>
      </c>
      <c r="P1" s="33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36" t="s">
        <v>20</v>
      </c>
      <c r="W1" s="36" t="s">
        <v>21</v>
      </c>
      <c r="X1" s="36" t="s">
        <v>22</v>
      </c>
      <c r="Y1" s="27" t="s">
        <v>23</v>
      </c>
      <c r="Z1" s="27" t="s">
        <v>24</v>
      </c>
      <c r="AA1" s="27" t="s">
        <v>25</v>
      </c>
      <c r="AB1" s="38" t="s">
        <v>26</v>
      </c>
      <c r="AC1" s="38" t="s">
        <v>27</v>
      </c>
      <c r="AD1" s="39" t="s">
        <v>28</v>
      </c>
      <c r="AE1" s="40" t="s">
        <v>29</v>
      </c>
      <c r="AF1" s="41" t="s">
        <v>30</v>
      </c>
    </row>
    <row r="2" ht="15.75" spans="1:32">
      <c r="A2" s="18" t="s">
        <v>50</v>
      </c>
      <c r="B2" s="9" t="s">
        <v>51</v>
      </c>
      <c r="C2" s="29" t="s">
        <v>52</v>
      </c>
      <c r="D2" s="29" t="s">
        <v>34</v>
      </c>
      <c r="E2" s="30"/>
      <c r="F2" s="29">
        <v>5701909090</v>
      </c>
      <c r="G2" s="29" t="s">
        <v>35</v>
      </c>
      <c r="H2" s="29" t="s">
        <v>36</v>
      </c>
      <c r="I2" s="34" t="s">
        <v>37</v>
      </c>
      <c r="J2" s="35" t="s">
        <v>38</v>
      </c>
      <c r="K2" s="35" t="s">
        <v>39</v>
      </c>
      <c r="L2" s="35" t="s">
        <v>40</v>
      </c>
      <c r="M2" s="35" t="s">
        <v>41</v>
      </c>
      <c r="N2" s="8">
        <v>20</v>
      </c>
      <c r="O2" s="30">
        <f>P2-1</f>
        <v>15.72</v>
      </c>
      <c r="P2" s="8">
        <v>16.72</v>
      </c>
      <c r="Q2" s="8">
        <v>9</v>
      </c>
      <c r="R2" s="8">
        <v>180</v>
      </c>
      <c r="S2" s="37">
        <v>17.097</v>
      </c>
      <c r="T2" s="30">
        <f>R2*S2</f>
        <v>3077.46</v>
      </c>
      <c r="U2" s="30" t="s">
        <v>42</v>
      </c>
      <c r="V2" s="30">
        <v>123.0984</v>
      </c>
      <c r="W2" s="30">
        <f>V2*R2</f>
        <v>22157.712</v>
      </c>
      <c r="X2" s="30" t="s">
        <v>43</v>
      </c>
      <c r="Y2" s="30">
        <v>53.5</v>
      </c>
      <c r="Z2" s="30">
        <v>53.5</v>
      </c>
      <c r="AA2" s="30">
        <v>43</v>
      </c>
      <c r="AB2" s="30" t="s">
        <v>53</v>
      </c>
      <c r="AC2" s="30" t="s">
        <v>54</v>
      </c>
      <c r="AD2" s="42"/>
      <c r="AE2" s="42"/>
      <c r="AF2" s="43" t="s">
        <v>55</v>
      </c>
    </row>
    <row r="11" spans="2:5">
      <c r="B11" s="29" t="s">
        <v>37</v>
      </c>
      <c r="C11" s="31" t="s">
        <v>47</v>
      </c>
      <c r="D11" s="29" t="s">
        <v>48</v>
      </c>
      <c r="E11" s="29" t="s">
        <v>49</v>
      </c>
    </row>
  </sheetData>
  <dataValidations count="3">
    <dataValidation allowBlank="1" showInputMessage="1" showErrorMessage="1" sqref="V1:X1 V2:X2 V3:X1048576"/>
    <dataValidation type="list" allowBlank="1" showInputMessage="1" showErrorMessage="1" sqref="J2:J1048576">
      <formula1>"无品牌,境内自主品牌,境内收购品牌,境外品牌（贴牌生产）,境外品牌（其他）"</formula1>
    </dataValidation>
    <dataValidation type="list" allowBlank="1" showInputMessage="1" showErrorMessage="1" sqref="M2:M1048576">
      <formula1>"普货,带磁,带电,商检,纺织品,带磁带电"</formula1>
    </dataValidation>
  </dataValidations>
  <hyperlinks>
    <hyperlink ref="AF2" r:id="rId4" display="https://www.amazon.de/dp/B0FWCD22YW"/>
  </hyperlinks>
  <printOptions horizontalCentered="1" verticalCentered="1"/>
  <pageMargins left="0.389583333333333" right="0" top="0" bottom="0" header="0.169444444444444" footer="0"/>
  <pageSetup paperSize="9" scale="36" orientation="landscape" horizontalDpi="600" verticalDpi="600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1" sqref="E21"/>
    </sheetView>
  </sheetViews>
  <sheetFormatPr defaultColWidth="8.66666666666667" defaultRowHeight="17.25"/>
  <cols>
    <col min="1" max="16384" width="8.66666666666667" style="15"/>
  </cols>
  <sheetData>
    <row r="1" ht="14.25" spans="1:18">
      <c r="A1" s="16" t="s">
        <v>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ht="14.25" spans="1:1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14.25" spans="1:1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14.25" spans="1:18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="15" customFormat="1" spans="1:18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="15" customFormat="1" spans="1:18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14.25" spans="1:18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14.25" spans="1:1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4.25" spans="1:18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ht="14.25" spans="1:18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ht="14.25" spans="1:18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ht="14.25" spans="1:1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14.25" spans="1:1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14.25" spans="1:18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ht="138" customHeight="1" spans="1:18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E16" sqref="E16:G24"/>
    </sheetView>
  </sheetViews>
  <sheetFormatPr defaultColWidth="9" defaultRowHeight="12.75"/>
  <cols>
    <col min="1" max="2" width="9" style="1"/>
    <col min="3" max="3" width="38.125" style="1" customWidth="1"/>
    <col min="4" max="5" width="9" style="1"/>
    <col min="6" max="6" width="13.625" style="1" customWidth="1"/>
    <col min="7" max="10" width="9" style="1"/>
    <col min="11" max="11" width="14" style="1" customWidth="1"/>
    <col min="12" max="13" width="9" style="1"/>
    <col min="14" max="14" width="14.875" style="1" customWidth="1"/>
    <col min="15" max="15" width="11" style="1"/>
    <col min="16" max="16" width="41.375" style="1" customWidth="1"/>
    <col min="17" max="16384" width="9" style="1"/>
  </cols>
  <sheetData>
    <row r="1" spans="1:14">
      <c r="A1" s="2" t="s">
        <v>57</v>
      </c>
      <c r="B1" s="2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3" t="s">
        <v>67</v>
      </c>
      <c r="L1" s="3" t="s">
        <v>68</v>
      </c>
      <c r="M1" s="3" t="s">
        <v>69</v>
      </c>
      <c r="N1" s="10" t="s">
        <v>70</v>
      </c>
    </row>
    <row r="2" ht="13.5" spans="1:17">
      <c r="A2" s="4" t="s">
        <v>71</v>
      </c>
      <c r="B2" s="4" t="s">
        <v>72</v>
      </c>
      <c r="C2" s="5" t="s">
        <v>73</v>
      </c>
      <c r="D2" s="5">
        <v>18.99</v>
      </c>
      <c r="E2" s="6" t="s">
        <v>37</v>
      </c>
      <c r="F2" s="5" t="s">
        <v>74</v>
      </c>
      <c r="G2" s="4">
        <v>9.4</v>
      </c>
      <c r="H2" s="4">
        <v>12</v>
      </c>
      <c r="I2" s="4">
        <v>17</v>
      </c>
      <c r="J2" s="4">
        <v>204</v>
      </c>
      <c r="K2" s="5" t="s">
        <v>75</v>
      </c>
      <c r="L2" s="4" t="s">
        <v>76</v>
      </c>
      <c r="M2" s="11" t="s">
        <v>77</v>
      </c>
      <c r="N2" s="12" t="s">
        <v>78</v>
      </c>
      <c r="O2" s="13">
        <v>45940</v>
      </c>
      <c r="P2" s="1" t="s">
        <v>79</v>
      </c>
      <c r="Q2" s="14" t="s">
        <v>80</v>
      </c>
    </row>
    <row r="3" ht="13.5" spans="1:17">
      <c r="A3" s="4" t="s">
        <v>71</v>
      </c>
      <c r="B3" s="4" t="s">
        <v>72</v>
      </c>
      <c r="C3" s="5" t="s">
        <v>81</v>
      </c>
      <c r="D3" s="5">
        <v>21.59</v>
      </c>
      <c r="E3" s="6" t="s">
        <v>37</v>
      </c>
      <c r="F3" s="5" t="s">
        <v>82</v>
      </c>
      <c r="G3" s="4">
        <v>13.4</v>
      </c>
      <c r="H3" s="4">
        <v>10</v>
      </c>
      <c r="I3" s="4">
        <v>60</v>
      </c>
      <c r="J3" s="4">
        <v>600</v>
      </c>
      <c r="K3" s="5" t="s">
        <v>83</v>
      </c>
      <c r="L3" s="4" t="s">
        <v>84</v>
      </c>
      <c r="M3" s="11" t="s">
        <v>77</v>
      </c>
      <c r="N3" s="12" t="s">
        <v>78</v>
      </c>
      <c r="O3" s="13">
        <v>45940</v>
      </c>
      <c r="P3" s="1" t="s">
        <v>85</v>
      </c>
      <c r="Q3" s="14" t="s">
        <v>86</v>
      </c>
    </row>
    <row r="4" ht="13.5" spans="1:17">
      <c r="A4" s="4" t="s">
        <v>71</v>
      </c>
      <c r="B4" s="4" t="s">
        <v>72</v>
      </c>
      <c r="C4" s="5" t="s">
        <v>87</v>
      </c>
      <c r="D4" s="5">
        <v>50.98</v>
      </c>
      <c r="E4" s="6" t="s">
        <v>37</v>
      </c>
      <c r="F4" s="5" t="s">
        <v>88</v>
      </c>
      <c r="G4" s="4">
        <v>18.5</v>
      </c>
      <c r="H4" s="4">
        <v>5</v>
      </c>
      <c r="I4" s="4">
        <v>41</v>
      </c>
      <c r="J4" s="4">
        <v>205</v>
      </c>
      <c r="K4" s="5" t="s">
        <v>89</v>
      </c>
      <c r="L4" s="4" t="s">
        <v>90</v>
      </c>
      <c r="M4" s="11" t="s">
        <v>91</v>
      </c>
      <c r="N4" s="12" t="s">
        <v>78</v>
      </c>
      <c r="O4" s="13">
        <v>45940</v>
      </c>
      <c r="P4" s="1" t="s">
        <v>92</v>
      </c>
      <c r="Q4" s="14" t="s">
        <v>93</v>
      </c>
    </row>
    <row r="5" ht="13.5" spans="1:17">
      <c r="A5" s="4" t="s">
        <v>71</v>
      </c>
      <c r="B5" s="4" t="s">
        <v>94</v>
      </c>
      <c r="C5" s="5" t="s">
        <v>81</v>
      </c>
      <c r="D5" s="5">
        <v>32.99</v>
      </c>
      <c r="E5" s="5" t="s">
        <v>37</v>
      </c>
      <c r="F5" s="5" t="s">
        <v>82</v>
      </c>
      <c r="G5" s="4">
        <v>13.4</v>
      </c>
      <c r="H5" s="4">
        <v>10</v>
      </c>
      <c r="I5" s="4">
        <v>20</v>
      </c>
      <c r="J5" s="4">
        <v>200</v>
      </c>
      <c r="K5" s="5" t="s">
        <v>95</v>
      </c>
      <c r="L5" s="5" t="s">
        <v>96</v>
      </c>
      <c r="M5" s="11" t="s">
        <v>97</v>
      </c>
      <c r="N5" s="12" t="s">
        <v>98</v>
      </c>
      <c r="O5" s="13">
        <v>45940</v>
      </c>
      <c r="P5" s="1" t="s">
        <v>99</v>
      </c>
      <c r="Q5" s="14" t="s">
        <v>46</v>
      </c>
    </row>
    <row r="6" ht="13.5" spans="1:17">
      <c r="A6" s="4" t="s">
        <v>71</v>
      </c>
      <c r="B6" s="4" t="s">
        <v>94</v>
      </c>
      <c r="C6" s="5" t="s">
        <v>100</v>
      </c>
      <c r="D6" s="5">
        <v>29.99</v>
      </c>
      <c r="E6" s="5" t="s">
        <v>37</v>
      </c>
      <c r="F6" s="5" t="s">
        <v>82</v>
      </c>
      <c r="G6" s="4">
        <v>13.4</v>
      </c>
      <c r="H6" s="4">
        <v>10</v>
      </c>
      <c r="I6" s="4">
        <v>15</v>
      </c>
      <c r="J6" s="4">
        <v>150</v>
      </c>
      <c r="K6" s="5" t="s">
        <v>101</v>
      </c>
      <c r="L6" s="5" t="s">
        <v>102</v>
      </c>
      <c r="M6" s="11" t="s">
        <v>97</v>
      </c>
      <c r="N6" s="12" t="s">
        <v>98</v>
      </c>
      <c r="O6" s="13">
        <v>45940</v>
      </c>
      <c r="P6" s="1" t="s">
        <v>103</v>
      </c>
      <c r="Q6" s="14" t="s">
        <v>104</v>
      </c>
    </row>
    <row r="7" ht="13.5" spans="1:17">
      <c r="A7" s="4" t="s">
        <v>71</v>
      </c>
      <c r="B7" s="4" t="s">
        <v>94</v>
      </c>
      <c r="C7" s="5" t="s">
        <v>73</v>
      </c>
      <c r="D7" s="5">
        <v>29.99</v>
      </c>
      <c r="E7" s="5" t="s">
        <v>37</v>
      </c>
      <c r="F7" s="7" t="s">
        <v>74</v>
      </c>
      <c r="G7" s="4">
        <v>9.4</v>
      </c>
      <c r="H7" s="4">
        <v>12</v>
      </c>
      <c r="I7" s="4">
        <v>16</v>
      </c>
      <c r="J7" s="4">
        <v>192</v>
      </c>
      <c r="K7" s="5" t="s">
        <v>105</v>
      </c>
      <c r="L7" s="5" t="s">
        <v>106</v>
      </c>
      <c r="M7" s="11" t="s">
        <v>97</v>
      </c>
      <c r="N7" s="12" t="s">
        <v>98</v>
      </c>
      <c r="O7" s="13">
        <v>45940</v>
      </c>
      <c r="P7" s="1" t="s">
        <v>107</v>
      </c>
      <c r="Q7" s="14" t="s">
        <v>108</v>
      </c>
    </row>
    <row r="8" ht="13.5" spans="1:17">
      <c r="A8" s="4" t="s">
        <v>71</v>
      </c>
      <c r="B8" s="4" t="s">
        <v>94</v>
      </c>
      <c r="C8" s="5" t="s">
        <v>109</v>
      </c>
      <c r="D8" s="5">
        <v>29.99</v>
      </c>
      <c r="E8" s="5" t="s">
        <v>37</v>
      </c>
      <c r="F8" s="7" t="s">
        <v>74</v>
      </c>
      <c r="G8" s="4">
        <v>9.4</v>
      </c>
      <c r="H8" s="4">
        <v>12</v>
      </c>
      <c r="I8" s="4">
        <v>6</v>
      </c>
      <c r="J8" s="4">
        <v>72</v>
      </c>
      <c r="K8" s="5" t="s">
        <v>110</v>
      </c>
      <c r="L8" s="5" t="s">
        <v>111</v>
      </c>
      <c r="M8" s="11" t="s">
        <v>97</v>
      </c>
      <c r="N8" s="12" t="s">
        <v>98</v>
      </c>
      <c r="O8" s="13">
        <v>45940</v>
      </c>
      <c r="P8" s="1" t="s">
        <v>112</v>
      </c>
      <c r="Q8" s="14" t="s">
        <v>113</v>
      </c>
    </row>
    <row r="9" ht="13.5" spans="1:17">
      <c r="A9" s="4" t="s">
        <v>114</v>
      </c>
      <c r="B9" s="4" t="s">
        <v>94</v>
      </c>
      <c r="C9" s="5" t="s">
        <v>115</v>
      </c>
      <c r="D9" s="5">
        <v>69.99</v>
      </c>
      <c r="E9" s="5" t="s">
        <v>116</v>
      </c>
      <c r="F9" s="5" t="s">
        <v>117</v>
      </c>
      <c r="G9" s="4">
        <v>17</v>
      </c>
      <c r="H9" s="4">
        <v>5</v>
      </c>
      <c r="I9" s="4">
        <v>40</v>
      </c>
      <c r="J9" s="4">
        <v>200</v>
      </c>
      <c r="K9" s="5" t="s">
        <v>118</v>
      </c>
      <c r="L9" s="5" t="s">
        <v>119</v>
      </c>
      <c r="M9" s="11" t="s">
        <v>120</v>
      </c>
      <c r="N9" s="12" t="s">
        <v>121</v>
      </c>
      <c r="O9" s="13">
        <v>45940</v>
      </c>
      <c r="P9" s="1" t="s">
        <v>122</v>
      </c>
      <c r="Q9" s="14" t="s">
        <v>123</v>
      </c>
    </row>
    <row r="10" ht="13.5" spans="1:17">
      <c r="A10" s="4" t="s">
        <v>71</v>
      </c>
      <c r="B10" s="4" t="s">
        <v>94</v>
      </c>
      <c r="C10" s="5" t="s">
        <v>124</v>
      </c>
      <c r="D10" s="5">
        <v>64.99</v>
      </c>
      <c r="E10" s="6" t="s">
        <v>37</v>
      </c>
      <c r="F10" s="5" t="s">
        <v>88</v>
      </c>
      <c r="G10" s="4">
        <v>18.3</v>
      </c>
      <c r="H10" s="4">
        <v>5</v>
      </c>
      <c r="I10" s="4">
        <v>36</v>
      </c>
      <c r="J10" s="4">
        <v>180</v>
      </c>
      <c r="K10" s="5" t="s">
        <v>125</v>
      </c>
      <c r="L10" s="4" t="s">
        <v>126</v>
      </c>
      <c r="M10" s="11" t="s">
        <v>127</v>
      </c>
      <c r="N10" s="12" t="s">
        <v>121</v>
      </c>
      <c r="O10" s="13">
        <v>45940</v>
      </c>
      <c r="P10" s="1" t="s">
        <v>128</v>
      </c>
      <c r="Q10" s="14" t="s">
        <v>129</v>
      </c>
    </row>
    <row r="15" spans="1:3">
      <c r="A15" s="1">
        <f>B15*0.3</f>
        <v>14.997</v>
      </c>
      <c r="B15" s="8">
        <v>49.99</v>
      </c>
      <c r="C15" s="1">
        <f>A15*7.2</f>
        <v>107.9784</v>
      </c>
    </row>
    <row r="16" spans="1:7">
      <c r="A16" s="1">
        <f t="shared" ref="A16:A23" si="0">B16*0.3</f>
        <v>6.477</v>
      </c>
      <c r="B16" s="8">
        <v>21.59</v>
      </c>
      <c r="C16" s="1">
        <f t="shared" ref="C16:C23" si="1">A16*7.2</f>
        <v>46.6344</v>
      </c>
      <c r="E16" s="9">
        <v>53.5</v>
      </c>
      <c r="F16" s="1">
        <v>35.5</v>
      </c>
      <c r="G16" s="1">
        <v>42.5</v>
      </c>
    </row>
    <row r="17" spans="1:7">
      <c r="A17" s="1">
        <f t="shared" si="0"/>
        <v>6.477</v>
      </c>
      <c r="B17" s="8">
        <v>21.59</v>
      </c>
      <c r="C17" s="1">
        <f t="shared" si="1"/>
        <v>46.6344</v>
      </c>
      <c r="E17" s="9">
        <v>57</v>
      </c>
      <c r="F17" s="1">
        <v>34.5</v>
      </c>
      <c r="G17" s="1">
        <v>48</v>
      </c>
    </row>
    <row r="18" spans="1:7">
      <c r="A18" s="1">
        <f t="shared" si="0"/>
        <v>5.697</v>
      </c>
      <c r="B18" s="8">
        <v>18.99</v>
      </c>
      <c r="C18" s="1">
        <f t="shared" si="1"/>
        <v>41.0184</v>
      </c>
      <c r="E18" s="9">
        <v>57</v>
      </c>
      <c r="F18" s="1">
        <v>34.5</v>
      </c>
      <c r="G18" s="1">
        <v>48</v>
      </c>
    </row>
    <row r="19" spans="1:7">
      <c r="A19" s="1">
        <f t="shared" si="0"/>
        <v>6.477</v>
      </c>
      <c r="B19" s="8">
        <v>21.59</v>
      </c>
      <c r="C19" s="1">
        <f t="shared" si="1"/>
        <v>46.6344</v>
      </c>
      <c r="E19" s="9">
        <v>46</v>
      </c>
      <c r="F19" s="1">
        <v>35</v>
      </c>
      <c r="G19" s="1">
        <v>34</v>
      </c>
    </row>
    <row r="20" spans="1:7">
      <c r="A20" s="1">
        <f t="shared" si="0"/>
        <v>14.997</v>
      </c>
      <c r="B20" s="8">
        <v>49.99</v>
      </c>
      <c r="C20" s="1">
        <f t="shared" si="1"/>
        <v>107.9784</v>
      </c>
      <c r="E20" s="9">
        <v>56</v>
      </c>
      <c r="F20" s="1">
        <v>34.5</v>
      </c>
      <c r="G20" s="1">
        <v>48</v>
      </c>
    </row>
    <row r="21" spans="1:7">
      <c r="A21" s="1">
        <f t="shared" si="0"/>
        <v>15.294</v>
      </c>
      <c r="B21" s="8">
        <v>50.98</v>
      </c>
      <c r="C21" s="1">
        <f t="shared" si="1"/>
        <v>110.1168</v>
      </c>
      <c r="E21" s="9">
        <v>74</v>
      </c>
      <c r="F21" s="1">
        <v>59</v>
      </c>
      <c r="G21" s="1">
        <v>31.5</v>
      </c>
    </row>
    <row r="22" spans="1:7">
      <c r="A22" s="1">
        <f t="shared" si="0"/>
        <v>9.897</v>
      </c>
      <c r="B22" s="9">
        <v>32.99</v>
      </c>
      <c r="C22" s="1">
        <f t="shared" si="1"/>
        <v>71.2584</v>
      </c>
      <c r="E22" s="9">
        <v>67</v>
      </c>
      <c r="F22" s="1">
        <v>45</v>
      </c>
      <c r="G22" s="1">
        <v>46</v>
      </c>
    </row>
    <row r="23" spans="1:7">
      <c r="A23" s="1">
        <f t="shared" si="0"/>
        <v>17.097</v>
      </c>
      <c r="B23" s="8">
        <v>56.99</v>
      </c>
      <c r="C23" s="1">
        <f t="shared" si="1"/>
        <v>123.0984</v>
      </c>
      <c r="E23" s="9">
        <v>56</v>
      </c>
      <c r="F23" s="1">
        <v>34.5</v>
      </c>
      <c r="G23" s="1">
        <v>48</v>
      </c>
    </row>
    <row r="24" spans="5:7">
      <c r="E24" s="9">
        <v>53.5</v>
      </c>
      <c r="F24" s="1">
        <v>53.5</v>
      </c>
      <c r="G24" s="1">
        <v>43</v>
      </c>
    </row>
  </sheetData>
  <hyperlinks>
    <hyperlink ref="Q2" r:id="rId1" display="https://www.amazon.co.uk/dp/B0BZY7XB93"/>
    <hyperlink ref="Q3" r:id="rId2" display="https://www.amazon.co.uk/dp/B0D69PNZQQ"/>
    <hyperlink ref="Q4" r:id="rId3" display="https://www.amazon.co.uk/dp/B0CNRC4YJB"/>
    <hyperlink ref="Q6" r:id="rId4" display="https://www.amazon.de/dp/B0D69LV2CC"/>
    <hyperlink ref="Q7" r:id="rId5" display="https://www.amazon.de/dp/B0DYV1GRWN"/>
    <hyperlink ref="Q8" r:id="rId6" display="https://www.amazon.de/dp/B08JTPLJPQ"/>
    <hyperlink ref="Q9" r:id="rId7" display="https://www.amazon.de/dp/B0F3JC4P2J"/>
    <hyperlink ref="Q10" r:id="rId8" display="https://www.amazon.de/dp/B0D1TXNKDM"/>
    <hyperlink ref="Q5" r:id="rId9" display="https://www.amazon.de/dp/B0D69N5QB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HAJ1-20箱</vt:lpstr>
      <vt:lpstr>DTM1-20箱</vt:lpstr>
      <vt:lpstr>表格要求说明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Vickie（贺文静）</cp:lastModifiedBy>
  <cp:revision>1</cp:revision>
  <dcterms:created xsi:type="dcterms:W3CDTF">2012-11-20T18:49:00Z</dcterms:created>
  <cp:lastPrinted>2018-03-27T22:13:00Z</cp:lastPrinted>
  <dcterms:modified xsi:type="dcterms:W3CDTF">2025-11-27T08:17:17Z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8CF41449D6DD45F9BC9CF78DBF4ED87C_13</vt:lpwstr>
  </property>
</Properties>
</file>